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0b7787a09b50f1f/Curso MBA FGV/Projeto do TCC/"/>
    </mc:Choice>
  </mc:AlternateContent>
  <xr:revisionPtr revIDLastSave="162" documentId="11_61F3AD472364FF18F55B1250EADB89BD857C373B" xr6:coauthVersionLast="47" xr6:coauthVersionMax="47" xr10:uidLastSave="{9213904C-F248-4E54-8EA1-8255E56A3C99}"/>
  <bookViews>
    <workbookView minimized="1" xWindow="-22290" yWindow="4365" windowWidth="16305" windowHeight="11130" xr2:uid="{00000000-000D-0000-FFFF-FFFF00000000}"/>
  </bookViews>
  <sheets>
    <sheet name="Sheet1" sheetId="1" r:id="rId1"/>
    <sheet name="Planilha1" sheetId="2" r:id="rId2"/>
  </sheets>
  <definedNames>
    <definedName name="_xlchart.v2.0" hidden="1">Sheet1!$A$2:$A$22</definedName>
    <definedName name="_xlchart.v2.1" hidden="1">Sheet1!$B$2:$B$22</definedName>
    <definedName name="_xlchart.v2.2" hidden="1">Sheet1!$C$2:$C$22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J11" i="1"/>
  <c r="K10" i="1"/>
  <c r="J10" i="1"/>
  <c r="H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 s="1"/>
  <c r="F20" i="1" s="1"/>
  <c r="F21" i="1" s="1"/>
  <c r="F22" i="1" s="1"/>
  <c r="F3" i="1"/>
  <c r="D24" i="1"/>
  <c r="C24" i="1"/>
  <c r="B24" i="1"/>
</calcChain>
</file>

<file path=xl/sharedStrings.xml><?xml version="1.0" encoding="utf-8"?>
<sst xmlns="http://schemas.openxmlformats.org/spreadsheetml/2006/main" count="93" uniqueCount="29">
  <si>
    <t>Grupo de idade</t>
  </si>
  <si>
    <t>População feminina(pessoas)</t>
  </si>
  <si>
    <t>População masculina(pessoas)</t>
  </si>
  <si>
    <t>Recorte Geográfico</t>
  </si>
  <si>
    <t>localidade</t>
  </si>
  <si>
    <t>100 anos ou mais</t>
  </si>
  <si>
    <t>Total</t>
  </si>
  <si>
    <t>Brasil</t>
  </si>
  <si>
    <t>95 a 99 anos</t>
  </si>
  <si>
    <t>90 a 94 anos</t>
  </si>
  <si>
    <t>85 a 89 anos</t>
  </si>
  <si>
    <t>80 a 84 anos</t>
  </si>
  <si>
    <t>75 a 79 anos</t>
  </si>
  <si>
    <t>70 a 74 anos</t>
  </si>
  <si>
    <t>65 a 69 anos</t>
  </si>
  <si>
    <t>60 a 64 anos</t>
  </si>
  <si>
    <t>55 a 59 anos</t>
  </si>
  <si>
    <t>50 a 54 anos</t>
  </si>
  <si>
    <t>45 a 49 anos</t>
  </si>
  <si>
    <t>40 a 44 anos</t>
  </si>
  <si>
    <t>35 a 39 anos</t>
  </si>
  <si>
    <t>30 a 34 anos</t>
  </si>
  <si>
    <t>25 a 29 anos</t>
  </si>
  <si>
    <t>20 a 24 anos</t>
  </si>
  <si>
    <t>15 a 19 anos</t>
  </si>
  <si>
    <t>10 a 14 anos</t>
  </si>
  <si>
    <t>5 a 9 anos</t>
  </si>
  <si>
    <t>0 a 4 anos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</si>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</sst>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Planilha1!$A$2:$A$22</c:f>
              <c:strCache>
                <c:ptCount val="21"/>
                <c:pt idx="0">
                  <c:v>100 anos ou mais</c:v>
                </c:pt>
                <c:pt idx="1">
                  <c:v>95 a 99 anos</c:v>
                </c:pt>
                <c:pt idx="2">
                  <c:v>90 a 94 anos</c:v>
                </c:pt>
                <c:pt idx="3">
                  <c:v>85 a 89 anos</c:v>
                </c:pt>
                <c:pt idx="4">
                  <c:v>80 a 84 anos</c:v>
                </c:pt>
                <c:pt idx="5">
                  <c:v>75 a 79 anos</c:v>
                </c:pt>
                <c:pt idx="6">
                  <c:v>70 a 74 anos</c:v>
                </c:pt>
                <c:pt idx="7">
                  <c:v>65 a 69 anos</c:v>
                </c:pt>
                <c:pt idx="8">
                  <c:v>60 a 64 anos</c:v>
                </c:pt>
                <c:pt idx="9">
                  <c:v>55 a 59 anos</c:v>
                </c:pt>
                <c:pt idx="10">
                  <c:v>50 a 54 anos</c:v>
                </c:pt>
                <c:pt idx="11">
                  <c:v>45 a 49 anos</c:v>
                </c:pt>
                <c:pt idx="12">
                  <c:v>40 a 44 anos</c:v>
                </c:pt>
                <c:pt idx="13">
                  <c:v>35 a 39 anos</c:v>
                </c:pt>
                <c:pt idx="14">
                  <c:v>30 a 34 anos</c:v>
                </c:pt>
                <c:pt idx="15">
                  <c:v>25 a 29 anos</c:v>
                </c:pt>
                <c:pt idx="16">
                  <c:v>20 a 24 anos</c:v>
                </c:pt>
                <c:pt idx="17">
                  <c:v>15 a 19 anos</c:v>
                </c:pt>
                <c:pt idx="18">
                  <c:v>10 a 14 anos</c:v>
                </c:pt>
                <c:pt idx="19">
                  <c:v>5 a 9 anos</c:v>
                </c:pt>
                <c:pt idx="20">
                  <c:v>0 a 4 anos</c:v>
                </c:pt>
              </c:strCache>
            </c:strRef>
          </c:cat>
          <c:val>
            <c:numRef>
              <c:f>Planilha1!$B$2:$B$22</c:f>
            </c:numRef>
          </c:val>
          <c:extLst>
            <c:ext xmlns:c16="http://schemas.microsoft.com/office/drawing/2014/chart" uri="{C3380CC4-5D6E-409C-BE32-E72D297353CC}">
              <c16:uniqueId val="{00000000-1D06-45B2-8470-3AD2596390B8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População feminina(pessoas)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Planilha1!$A$2:$A$22</c:f>
              <c:strCache>
                <c:ptCount val="21"/>
                <c:pt idx="0">
                  <c:v>100 anos ou mais</c:v>
                </c:pt>
                <c:pt idx="1">
                  <c:v>95 a 99 anos</c:v>
                </c:pt>
                <c:pt idx="2">
                  <c:v>90 a 94 anos</c:v>
                </c:pt>
                <c:pt idx="3">
                  <c:v>85 a 89 anos</c:v>
                </c:pt>
                <c:pt idx="4">
                  <c:v>80 a 84 anos</c:v>
                </c:pt>
                <c:pt idx="5">
                  <c:v>75 a 79 anos</c:v>
                </c:pt>
                <c:pt idx="6">
                  <c:v>70 a 74 anos</c:v>
                </c:pt>
                <c:pt idx="7">
                  <c:v>65 a 69 anos</c:v>
                </c:pt>
                <c:pt idx="8">
                  <c:v>60 a 64 anos</c:v>
                </c:pt>
                <c:pt idx="9">
                  <c:v>55 a 59 anos</c:v>
                </c:pt>
                <c:pt idx="10">
                  <c:v>50 a 54 anos</c:v>
                </c:pt>
                <c:pt idx="11">
                  <c:v>45 a 49 anos</c:v>
                </c:pt>
                <c:pt idx="12">
                  <c:v>40 a 44 anos</c:v>
                </c:pt>
                <c:pt idx="13">
                  <c:v>35 a 39 anos</c:v>
                </c:pt>
                <c:pt idx="14">
                  <c:v>30 a 34 anos</c:v>
                </c:pt>
                <c:pt idx="15">
                  <c:v>25 a 29 anos</c:v>
                </c:pt>
                <c:pt idx="16">
                  <c:v>20 a 24 anos</c:v>
                </c:pt>
                <c:pt idx="17">
                  <c:v>15 a 19 anos</c:v>
                </c:pt>
                <c:pt idx="18">
                  <c:v>10 a 14 anos</c:v>
                </c:pt>
                <c:pt idx="19">
                  <c:v>5 a 9 anos</c:v>
                </c:pt>
                <c:pt idx="20">
                  <c:v>0 a 4 anos</c:v>
                </c:pt>
              </c:strCache>
            </c:strRef>
          </c:cat>
          <c:val>
            <c:numRef>
              <c:f>Planilha1!$C$2:$C$22</c:f>
              <c:numCache>
                <c:formatCode>General</c:formatCode>
                <c:ptCount val="21"/>
                <c:pt idx="0">
                  <c:v>-27244</c:v>
                </c:pt>
                <c:pt idx="1">
                  <c:v>-114859</c:v>
                </c:pt>
                <c:pt idx="2">
                  <c:v>-385388</c:v>
                </c:pt>
                <c:pt idx="3">
                  <c:v>-835554</c:v>
                </c:pt>
                <c:pt idx="4">
                  <c:v>-1465178</c:v>
                </c:pt>
                <c:pt idx="5">
                  <c:v>-2189593</c:v>
                </c:pt>
                <c:pt idx="6">
                  <c:v>-3243186</c:v>
                </c:pt>
                <c:pt idx="7">
                  <c:v>-4288180</c:v>
                </c:pt>
                <c:pt idx="8">
                  <c:v>-5338555</c:v>
                </c:pt>
                <c:pt idx="9">
                  <c:v>-6149601</c:v>
                </c:pt>
                <c:pt idx="10">
                  <c:v>-6584190</c:v>
                </c:pt>
                <c:pt idx="11">
                  <c:v>-7091003</c:v>
                </c:pt>
                <c:pt idx="12">
                  <c:v>-8291111</c:v>
                </c:pt>
                <c:pt idx="13">
                  <c:v>-8345458</c:v>
                </c:pt>
                <c:pt idx="14">
                  <c:v>-7935832</c:v>
                </c:pt>
                <c:pt idx="15">
                  <c:v>-7842265</c:v>
                </c:pt>
                <c:pt idx="16">
                  <c:v>-7699157</c:v>
                </c:pt>
                <c:pt idx="17">
                  <c:v>-7058427</c:v>
                </c:pt>
                <c:pt idx="18">
                  <c:v>-6682215</c:v>
                </c:pt>
                <c:pt idx="19">
                  <c:v>-6738158</c:v>
                </c:pt>
                <c:pt idx="20">
                  <c:v>-6243171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6-45B2-8470-3AD2596390B8}"/>
            </c:ext>
          </c:extLst>
        </c:ser>
        <c:ser>
          <c:idx val="2"/>
          <c:order val="2"/>
          <c:tx>
            <c:strRef>
              <c:f>Planilha1!$D$1</c:f>
              <c:strCache>
                <c:ptCount val="1"/>
                <c:pt idx="0">
                  <c:v>População masculina(pessoas)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Planilha1!$A$2:$A$22</c:f>
              <c:strCache>
                <c:ptCount val="21"/>
                <c:pt idx="0">
                  <c:v>100 anos ou mais</c:v>
                </c:pt>
                <c:pt idx="1">
                  <c:v>95 a 99 anos</c:v>
                </c:pt>
                <c:pt idx="2">
                  <c:v>90 a 94 anos</c:v>
                </c:pt>
                <c:pt idx="3">
                  <c:v>85 a 89 anos</c:v>
                </c:pt>
                <c:pt idx="4">
                  <c:v>80 a 84 anos</c:v>
                </c:pt>
                <c:pt idx="5">
                  <c:v>75 a 79 anos</c:v>
                </c:pt>
                <c:pt idx="6">
                  <c:v>70 a 74 anos</c:v>
                </c:pt>
                <c:pt idx="7">
                  <c:v>65 a 69 anos</c:v>
                </c:pt>
                <c:pt idx="8">
                  <c:v>60 a 64 anos</c:v>
                </c:pt>
                <c:pt idx="9">
                  <c:v>55 a 59 anos</c:v>
                </c:pt>
                <c:pt idx="10">
                  <c:v>50 a 54 anos</c:v>
                </c:pt>
                <c:pt idx="11">
                  <c:v>45 a 49 anos</c:v>
                </c:pt>
                <c:pt idx="12">
                  <c:v>40 a 44 anos</c:v>
                </c:pt>
                <c:pt idx="13">
                  <c:v>35 a 39 anos</c:v>
                </c:pt>
                <c:pt idx="14">
                  <c:v>30 a 34 anos</c:v>
                </c:pt>
                <c:pt idx="15">
                  <c:v>25 a 29 anos</c:v>
                </c:pt>
                <c:pt idx="16">
                  <c:v>20 a 24 anos</c:v>
                </c:pt>
                <c:pt idx="17">
                  <c:v>15 a 19 anos</c:v>
                </c:pt>
                <c:pt idx="18">
                  <c:v>10 a 14 anos</c:v>
                </c:pt>
                <c:pt idx="19">
                  <c:v>5 a 9 anos</c:v>
                </c:pt>
                <c:pt idx="20">
                  <c:v>0 a 4 anos</c:v>
                </c:pt>
              </c:strCache>
            </c:strRef>
          </c:cat>
          <c:val>
            <c:numRef>
              <c:f>Planilha1!$D$2:$D$22</c:f>
              <c:numCache>
                <c:formatCode>General</c:formatCode>
                <c:ptCount val="21"/>
                <c:pt idx="0">
                  <c:v>10570</c:v>
                </c:pt>
                <c:pt idx="1">
                  <c:v>50319</c:v>
                </c:pt>
                <c:pt idx="2">
                  <c:v>194341</c:v>
                </c:pt>
                <c:pt idx="3">
                  <c:v>493649</c:v>
                </c:pt>
                <c:pt idx="4">
                  <c:v>1009852</c:v>
                </c:pt>
                <c:pt idx="5">
                  <c:v>1657786</c:v>
                </c:pt>
                <c:pt idx="6">
                  <c:v>2615350</c:v>
                </c:pt>
                <c:pt idx="7">
                  <c:v>3588052</c:v>
                </c:pt>
                <c:pt idx="8">
                  <c:v>4605834</c:v>
                </c:pt>
                <c:pt idx="9">
                  <c:v>5419505</c:v>
                </c:pt>
                <c:pt idx="10">
                  <c:v>6014391</c:v>
                </c:pt>
                <c:pt idx="11">
                  <c:v>6549109</c:v>
                </c:pt>
                <c:pt idx="12">
                  <c:v>7781059</c:v>
                </c:pt>
                <c:pt idx="13">
                  <c:v>7827333</c:v>
                </c:pt>
                <c:pt idx="14">
                  <c:v>7537285</c:v>
                </c:pt>
                <c:pt idx="15">
                  <c:v>7627458</c:v>
                </c:pt>
                <c:pt idx="16">
                  <c:v>7767306</c:v>
                </c:pt>
                <c:pt idx="17">
                  <c:v>7317515</c:v>
                </c:pt>
                <c:pt idx="18">
                  <c:v>6992746</c:v>
                </c:pt>
                <c:pt idx="19">
                  <c:v>7011282</c:v>
                </c:pt>
                <c:pt idx="20">
                  <c:v>6461689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06-45B2-8470-3AD2596390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2269888"/>
        <c:axId val="482255968"/>
      </c:barChart>
      <c:catAx>
        <c:axId val="482269888"/>
        <c:scaling>
          <c:orientation val="maxMin"/>
        </c:scaling>
        <c:delete val="1"/>
        <c:axPos val="l"/>
        <c:numFmt formatCode="#.##0;#" sourceLinked="0"/>
        <c:majorTickMark val="none"/>
        <c:minorTickMark val="none"/>
        <c:tickLblPos val="nextTo"/>
        <c:crossAx val="482255968"/>
        <c:crosses val="autoZero"/>
        <c:auto val="1"/>
        <c:lblAlgn val="ctr"/>
        <c:lblOffset val="1"/>
        <c:tickLblSkip val="1"/>
        <c:tickMarkSkip val="1"/>
        <c:noMultiLvlLbl val="0"/>
      </c:catAx>
      <c:valAx>
        <c:axId val="482255968"/>
        <c:scaling>
          <c:orientation val="minMax"/>
        </c:scaling>
        <c:delete val="0"/>
        <c:axPos val="t"/>
        <c:numFmt formatCode="#.##0;#.##0" sourceLinked="0"/>
        <c:majorTickMark val="none"/>
        <c:minorTickMark val="none"/>
        <c:tickLblPos val="high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2269888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  <cx:data id="1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Título do Gráfico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pt-BR">
              <a:solidFill>
                <a:sysClr val="windowText" lastClr="000000">
                  <a:lumMod val="65000"/>
                  <a:lumOff val="35000"/>
                </a:sysClr>
              </a:solidFill>
            </a:rPr>
            <a:t>Título do Gráfico</a:t>
          </a:r>
        </a:p>
      </cx:txPr>
    </cx:title>
    <cx:plotArea>
      <cx:plotAreaRegion>
        <cx:series layoutId="funnel" uniqueId="{00000000-2C75-4B4E-B6E4-DA0FD5D2D94E}" formatIdx="0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x:txPr>
            <cx:visibility seriesName="0" categoryName="0" value="1"/>
          </cx:dataLabels>
          <cx:dataId val="0"/>
        </cx:series>
        <cx:series layoutId="funnel" hidden="1" uniqueId="{00000001-2C75-4B4E-B6E4-DA0FD5D2D94E}" formatIdx="1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pt-BR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x:txPr>
            <cx:visibility seriesName="0" categoryName="0" value="1"/>
          </cx:dataLabels>
          <cx:dataId val="1"/>
        </cx:series>
      </cx:plotAreaRegion>
      <cx:axis id="0">
        <cx:catScaling gapWidth="0.0599999987"/>
        <cx:majorTickMarks type="out"/>
        <cx:minorTickMarks type="in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pt-BR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</xdr:colOff>
      <xdr:row>12</xdr:row>
      <xdr:rowOff>0</xdr:rowOff>
    </xdr:from>
    <xdr:to>
      <xdr:col>15</xdr:col>
      <xdr:colOff>572452</xdr:colOff>
      <xdr:row>26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B0EBB8E-B5D7-5135-5567-A4CF7EF98B8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4177" y="2400300"/>
              <a:ext cx="4562475" cy="2815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377190</xdr:colOff>
      <xdr:row>5</xdr:row>
      <xdr:rowOff>0</xdr:rowOff>
    </xdr:from>
    <xdr:to>
      <xdr:col>14</xdr:col>
      <xdr:colOff>228600</xdr:colOff>
      <xdr:row>27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F554F1-6724-EE8B-D76B-D738104F6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E29" sqref="E29"/>
    </sheetView>
  </sheetViews>
  <sheetFormatPr defaultRowHeight="15.6" x14ac:dyDescent="0.3"/>
  <cols>
    <col min="1" max="1" width="15.796875" customWidth="1"/>
    <col min="2" max="2" width="25.69921875" bestFit="1" customWidth="1"/>
    <col min="3" max="3" width="26.69921875" bestFit="1" customWidth="1"/>
    <col min="4" max="4" width="16.8984375" bestFit="1" customWidth="1"/>
    <col min="5" max="5" width="15.796875" customWidth="1"/>
    <col min="6" max="6" width="10.19921875" bestFit="1" customWidth="1"/>
    <col min="8" max="8" width="9.898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</row>
    <row r="2" spans="1:11" x14ac:dyDescent="0.3">
      <c r="A2" t="s">
        <v>5</v>
      </c>
      <c r="B2">
        <v>27244</v>
      </c>
      <c r="C2">
        <v>10570</v>
      </c>
      <c r="D2" t="s">
        <v>6</v>
      </c>
      <c r="E2" t="s">
        <v>7</v>
      </c>
      <c r="F2">
        <f>B2+C2</f>
        <v>37814</v>
      </c>
      <c r="H2">
        <f>B2+C2</f>
        <v>37814</v>
      </c>
    </row>
    <row r="3" spans="1:11" x14ac:dyDescent="0.3">
      <c r="A3" t="s">
        <v>8</v>
      </c>
      <c r="B3">
        <v>114859</v>
      </c>
      <c r="C3">
        <v>50319</v>
      </c>
      <c r="D3" t="s">
        <v>6</v>
      </c>
      <c r="E3" t="s">
        <v>7</v>
      </c>
      <c r="F3">
        <f>F2+B3+C3</f>
        <v>202992</v>
      </c>
      <c r="H3">
        <f t="shared" ref="H3:H22" si="0">B3+C3</f>
        <v>165178</v>
      </c>
    </row>
    <row r="4" spans="1:11" x14ac:dyDescent="0.3">
      <c r="A4" t="s">
        <v>9</v>
      </c>
      <c r="B4">
        <v>385388</v>
      </c>
      <c r="C4">
        <v>194341</v>
      </c>
      <c r="D4" t="s">
        <v>6</v>
      </c>
      <c r="E4" t="s">
        <v>7</v>
      </c>
      <c r="F4">
        <f t="shared" ref="F4:F22" si="1">F3+B4+C4</f>
        <v>782721</v>
      </c>
      <c r="H4">
        <f t="shared" si="0"/>
        <v>579729</v>
      </c>
    </row>
    <row r="5" spans="1:11" x14ac:dyDescent="0.3">
      <c r="A5" t="s">
        <v>10</v>
      </c>
      <c r="B5">
        <v>835554</v>
      </c>
      <c r="C5">
        <v>493649</v>
      </c>
      <c r="D5" t="s">
        <v>6</v>
      </c>
      <c r="E5" t="s">
        <v>7</v>
      </c>
      <c r="F5">
        <f t="shared" si="1"/>
        <v>2111924</v>
      </c>
      <c r="H5">
        <f t="shared" si="0"/>
        <v>1329203</v>
      </c>
    </row>
    <row r="6" spans="1:11" x14ac:dyDescent="0.3">
      <c r="A6" t="s">
        <v>11</v>
      </c>
      <c r="B6">
        <v>1465178</v>
      </c>
      <c r="C6">
        <v>1009852</v>
      </c>
      <c r="D6" t="s">
        <v>6</v>
      </c>
      <c r="E6" t="s">
        <v>7</v>
      </c>
      <c r="F6">
        <f t="shared" si="1"/>
        <v>4586954</v>
      </c>
      <c r="H6">
        <f t="shared" si="0"/>
        <v>2475030</v>
      </c>
    </row>
    <row r="7" spans="1:11" x14ac:dyDescent="0.3">
      <c r="A7" t="s">
        <v>12</v>
      </c>
      <c r="B7">
        <v>2189593</v>
      </c>
      <c r="C7">
        <v>1657786</v>
      </c>
      <c r="D7" t="s">
        <v>6</v>
      </c>
      <c r="E7" t="s">
        <v>7</v>
      </c>
      <c r="F7">
        <f t="shared" si="1"/>
        <v>8434333</v>
      </c>
      <c r="H7">
        <f t="shared" si="0"/>
        <v>3847379</v>
      </c>
    </row>
    <row r="8" spans="1:11" x14ac:dyDescent="0.3">
      <c r="A8" t="s">
        <v>13</v>
      </c>
      <c r="B8">
        <v>3243186</v>
      </c>
      <c r="C8">
        <v>2615350</v>
      </c>
      <c r="D8" t="s">
        <v>6</v>
      </c>
      <c r="E8" t="s">
        <v>7</v>
      </c>
      <c r="F8">
        <f t="shared" si="1"/>
        <v>14292869</v>
      </c>
      <c r="H8">
        <f t="shared" si="0"/>
        <v>5858536</v>
      </c>
    </row>
    <row r="9" spans="1:11" x14ac:dyDescent="0.3">
      <c r="A9" t="s">
        <v>14</v>
      </c>
      <c r="B9">
        <v>4288180</v>
      </c>
      <c r="C9">
        <v>3588052</v>
      </c>
      <c r="D9" t="s">
        <v>6</v>
      </c>
      <c r="E9" t="s">
        <v>7</v>
      </c>
      <c r="F9">
        <f t="shared" si="1"/>
        <v>22169101</v>
      </c>
      <c r="H9">
        <f t="shared" si="0"/>
        <v>7876232</v>
      </c>
    </row>
    <row r="10" spans="1:11" x14ac:dyDescent="0.3">
      <c r="A10" s="1" t="s">
        <v>15</v>
      </c>
      <c r="B10" s="1">
        <v>5338555</v>
      </c>
      <c r="C10" s="1">
        <v>4605834</v>
      </c>
      <c r="D10" s="1" t="s">
        <v>6</v>
      </c>
      <c r="E10" s="1" t="s">
        <v>7</v>
      </c>
      <c r="F10" s="1">
        <f t="shared" si="1"/>
        <v>32113490</v>
      </c>
      <c r="G10" s="1"/>
      <c r="H10" s="1">
        <f t="shared" si="0"/>
        <v>9944389</v>
      </c>
      <c r="J10">
        <f>SUM(H2:H10)</f>
        <v>32113490</v>
      </c>
      <c r="K10" s="2">
        <f>J10/H24</f>
        <v>0.15813162523385524</v>
      </c>
    </row>
    <row r="11" spans="1:11" x14ac:dyDescent="0.3">
      <c r="A11" t="s">
        <v>16</v>
      </c>
      <c r="B11">
        <v>6149601</v>
      </c>
      <c r="C11">
        <v>5419505</v>
      </c>
      <c r="D11" t="s">
        <v>6</v>
      </c>
      <c r="E11" t="s">
        <v>7</v>
      </c>
      <c r="F11">
        <f t="shared" si="1"/>
        <v>43682596</v>
      </c>
      <c r="H11">
        <f t="shared" si="0"/>
        <v>11569106</v>
      </c>
      <c r="J11">
        <f>SUM(B2:B10)/J10</f>
        <v>0.55701628817048532</v>
      </c>
    </row>
    <row r="12" spans="1:11" x14ac:dyDescent="0.3">
      <c r="A12" t="s">
        <v>17</v>
      </c>
      <c r="B12">
        <v>6584190</v>
      </c>
      <c r="C12">
        <v>6014391</v>
      </c>
      <c r="D12" t="s">
        <v>6</v>
      </c>
      <c r="E12" t="s">
        <v>7</v>
      </c>
      <c r="F12">
        <f t="shared" si="1"/>
        <v>56281177</v>
      </c>
      <c r="H12">
        <f t="shared" si="0"/>
        <v>12598581</v>
      </c>
    </row>
    <row r="13" spans="1:11" x14ac:dyDescent="0.3">
      <c r="A13" t="s">
        <v>18</v>
      </c>
      <c r="B13">
        <v>7091003</v>
      </c>
      <c r="C13">
        <v>6549109</v>
      </c>
      <c r="D13" t="s">
        <v>6</v>
      </c>
      <c r="E13" t="s">
        <v>7</v>
      </c>
      <c r="F13">
        <f t="shared" si="1"/>
        <v>69921289</v>
      </c>
      <c r="H13">
        <f t="shared" si="0"/>
        <v>13640112</v>
      </c>
    </row>
    <row r="14" spans="1:11" x14ac:dyDescent="0.3">
      <c r="A14" t="s">
        <v>19</v>
      </c>
      <c r="B14">
        <v>8291111</v>
      </c>
      <c r="C14">
        <v>7781059</v>
      </c>
      <c r="D14" t="s">
        <v>6</v>
      </c>
      <c r="E14" t="s">
        <v>7</v>
      </c>
      <c r="F14">
        <f t="shared" si="1"/>
        <v>85993459</v>
      </c>
      <c r="H14">
        <f t="shared" si="0"/>
        <v>16072170</v>
      </c>
    </row>
    <row r="15" spans="1:11" x14ac:dyDescent="0.3">
      <c r="A15" t="s">
        <v>20</v>
      </c>
      <c r="B15">
        <v>8345458</v>
      </c>
      <c r="C15">
        <v>7827333</v>
      </c>
      <c r="D15" t="s">
        <v>6</v>
      </c>
      <c r="E15" t="s">
        <v>7</v>
      </c>
      <c r="F15">
        <f t="shared" si="1"/>
        <v>102166250</v>
      </c>
      <c r="H15">
        <f t="shared" si="0"/>
        <v>16172791</v>
      </c>
    </row>
    <row r="16" spans="1:11" x14ac:dyDescent="0.3">
      <c r="A16" t="s">
        <v>21</v>
      </c>
      <c r="B16">
        <v>7935832</v>
      </c>
      <c r="C16">
        <v>7537285</v>
      </c>
      <c r="D16" t="s">
        <v>6</v>
      </c>
      <c r="E16" t="s">
        <v>7</v>
      </c>
      <c r="F16">
        <f t="shared" si="1"/>
        <v>117639367</v>
      </c>
      <c r="H16">
        <f t="shared" si="0"/>
        <v>15473117</v>
      </c>
    </row>
    <row r="17" spans="1:8" x14ac:dyDescent="0.3">
      <c r="A17" t="s">
        <v>22</v>
      </c>
      <c r="B17">
        <v>7842265</v>
      </c>
      <c r="C17">
        <v>7627458</v>
      </c>
      <c r="D17" t="s">
        <v>6</v>
      </c>
      <c r="E17" t="s">
        <v>7</v>
      </c>
      <c r="F17">
        <f t="shared" si="1"/>
        <v>133109090</v>
      </c>
      <c r="H17">
        <f t="shared" si="0"/>
        <v>15469723</v>
      </c>
    </row>
    <row r="18" spans="1:8" x14ac:dyDescent="0.3">
      <c r="A18" t="s">
        <v>23</v>
      </c>
      <c r="B18">
        <v>7699157</v>
      </c>
      <c r="C18">
        <v>7767306</v>
      </c>
      <c r="D18" t="s">
        <v>6</v>
      </c>
      <c r="E18" t="s">
        <v>7</v>
      </c>
      <c r="F18">
        <f t="shared" si="1"/>
        <v>148575553</v>
      </c>
      <c r="H18">
        <f t="shared" si="0"/>
        <v>15466463</v>
      </c>
    </row>
    <row r="19" spans="1:8" x14ac:dyDescent="0.3">
      <c r="A19" t="s">
        <v>24</v>
      </c>
      <c r="B19">
        <v>7058427</v>
      </c>
      <c r="C19">
        <v>7317515</v>
      </c>
      <c r="D19" t="s">
        <v>6</v>
      </c>
      <c r="E19" t="s">
        <v>7</v>
      </c>
      <c r="F19">
        <f t="shared" si="1"/>
        <v>162951495</v>
      </c>
      <c r="H19">
        <f t="shared" si="0"/>
        <v>14375942</v>
      </c>
    </row>
    <row r="20" spans="1:8" x14ac:dyDescent="0.3">
      <c r="A20" t="s">
        <v>25</v>
      </c>
      <c r="B20">
        <v>6682215</v>
      </c>
      <c r="C20">
        <v>6992746</v>
      </c>
      <c r="D20" t="s">
        <v>6</v>
      </c>
      <c r="E20" t="s">
        <v>7</v>
      </c>
      <c r="F20">
        <f t="shared" si="1"/>
        <v>176626456</v>
      </c>
      <c r="H20">
        <f t="shared" si="0"/>
        <v>13674961</v>
      </c>
    </row>
    <row r="21" spans="1:8" x14ac:dyDescent="0.3">
      <c r="A21" t="s">
        <v>26</v>
      </c>
      <c r="B21">
        <v>6738158</v>
      </c>
      <c r="C21">
        <v>7011282</v>
      </c>
      <c r="D21" t="s">
        <v>6</v>
      </c>
      <c r="E21" t="s">
        <v>7</v>
      </c>
      <c r="F21">
        <f t="shared" si="1"/>
        <v>190375896</v>
      </c>
      <c r="H21">
        <f t="shared" si="0"/>
        <v>13749440</v>
      </c>
    </row>
    <row r="22" spans="1:8" x14ac:dyDescent="0.3">
      <c r="A22" t="s">
        <v>27</v>
      </c>
      <c r="B22">
        <v>6243171</v>
      </c>
      <c r="C22">
        <v>6461689</v>
      </c>
      <c r="D22" t="s">
        <v>6</v>
      </c>
      <c r="E22" t="s">
        <v>7</v>
      </c>
      <c r="F22">
        <f t="shared" si="1"/>
        <v>203080756</v>
      </c>
      <c r="H22">
        <f t="shared" si="0"/>
        <v>12704860</v>
      </c>
    </row>
    <row r="24" spans="1:8" x14ac:dyDescent="0.3">
      <c r="B24">
        <f>SUM(B2:B22)</f>
        <v>104548325</v>
      </c>
      <c r="C24">
        <f>SUM(C2:C22)</f>
        <v>98532431</v>
      </c>
      <c r="D24">
        <f>B24+C24</f>
        <v>203080756</v>
      </c>
      <c r="H24">
        <f>SUM(H2:H22)</f>
        <v>203080756</v>
      </c>
    </row>
  </sheetData>
  <pageMargins left="0.511811024" right="0.511811024" top="0.78740157499999996" bottom="0.78740157499999996" header="0.31496062000000002" footer="0.31496062000000002"/>
  <ignoredErrors>
    <ignoredError sqref="A1:E22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458B-E1CC-435D-B275-D1CB286AD49E}">
  <dimension ref="A1:D22"/>
  <sheetViews>
    <sheetView workbookViewId="0">
      <selection activeCell="S4" sqref="S4"/>
    </sheetView>
  </sheetViews>
  <sheetFormatPr defaultRowHeight="15.6" x14ac:dyDescent="0.3"/>
  <cols>
    <col min="1" max="1" width="15.59765625" bestFit="1" customWidth="1"/>
    <col min="2" max="2" width="25.69921875" hidden="1" customWidth="1"/>
    <col min="3" max="3" width="25.69921875" customWidth="1"/>
    <col min="4" max="4" width="26.69921875" bestFit="1" customWidth="1"/>
  </cols>
  <sheetData>
    <row r="1" spans="1:4" x14ac:dyDescent="0.3">
      <c r="A1" t="s">
        <v>0</v>
      </c>
      <c r="C1" t="s">
        <v>1</v>
      </c>
      <c r="D1" t="s">
        <v>2</v>
      </c>
    </row>
    <row r="2" spans="1:4" x14ac:dyDescent="0.3">
      <c r="A2" t="s">
        <v>5</v>
      </c>
      <c r="B2">
        <v>27244</v>
      </c>
      <c r="C2">
        <f>B2*-1</f>
        <v>-27244</v>
      </c>
      <c r="D2">
        <v>10570</v>
      </c>
    </row>
    <row r="3" spans="1:4" x14ac:dyDescent="0.3">
      <c r="A3" t="s">
        <v>8</v>
      </c>
      <c r="B3">
        <v>114859</v>
      </c>
      <c r="C3">
        <f t="shared" ref="C3:C22" si="0">B3*-1</f>
        <v>-114859</v>
      </c>
      <c r="D3">
        <v>50319</v>
      </c>
    </row>
    <row r="4" spans="1:4" x14ac:dyDescent="0.3">
      <c r="A4" t="s">
        <v>9</v>
      </c>
      <c r="B4">
        <v>385388</v>
      </c>
      <c r="C4">
        <f t="shared" si="0"/>
        <v>-385388</v>
      </c>
      <c r="D4">
        <v>194341</v>
      </c>
    </row>
    <row r="5" spans="1:4" x14ac:dyDescent="0.3">
      <c r="A5" t="s">
        <v>10</v>
      </c>
      <c r="B5">
        <v>835554</v>
      </c>
      <c r="C5">
        <f t="shared" si="0"/>
        <v>-835554</v>
      </c>
      <c r="D5">
        <v>493649</v>
      </c>
    </row>
    <row r="6" spans="1:4" x14ac:dyDescent="0.3">
      <c r="A6" t="s">
        <v>11</v>
      </c>
      <c r="B6">
        <v>1465178</v>
      </c>
      <c r="C6">
        <f t="shared" si="0"/>
        <v>-1465178</v>
      </c>
      <c r="D6">
        <v>1009852</v>
      </c>
    </row>
    <row r="7" spans="1:4" x14ac:dyDescent="0.3">
      <c r="A7" t="s">
        <v>12</v>
      </c>
      <c r="B7">
        <v>2189593</v>
      </c>
      <c r="C7">
        <f t="shared" si="0"/>
        <v>-2189593</v>
      </c>
      <c r="D7">
        <v>1657786</v>
      </c>
    </row>
    <row r="8" spans="1:4" x14ac:dyDescent="0.3">
      <c r="A8" t="s">
        <v>13</v>
      </c>
      <c r="B8">
        <v>3243186</v>
      </c>
      <c r="C8">
        <f t="shared" si="0"/>
        <v>-3243186</v>
      </c>
      <c r="D8">
        <v>2615350</v>
      </c>
    </row>
    <row r="9" spans="1:4" x14ac:dyDescent="0.3">
      <c r="A9" t="s">
        <v>14</v>
      </c>
      <c r="B9">
        <v>4288180</v>
      </c>
      <c r="C9">
        <f t="shared" si="0"/>
        <v>-4288180</v>
      </c>
      <c r="D9">
        <v>3588052</v>
      </c>
    </row>
    <row r="10" spans="1:4" x14ac:dyDescent="0.3">
      <c r="A10" s="1" t="s">
        <v>15</v>
      </c>
      <c r="B10" s="1">
        <v>5338555</v>
      </c>
      <c r="C10">
        <f t="shared" si="0"/>
        <v>-5338555</v>
      </c>
      <c r="D10" s="1">
        <v>4605834</v>
      </c>
    </row>
    <row r="11" spans="1:4" x14ac:dyDescent="0.3">
      <c r="A11" t="s">
        <v>16</v>
      </c>
      <c r="B11">
        <v>6149601</v>
      </c>
      <c r="C11">
        <f t="shared" si="0"/>
        <v>-6149601</v>
      </c>
      <c r="D11">
        <v>5419505</v>
      </c>
    </row>
    <row r="12" spans="1:4" x14ac:dyDescent="0.3">
      <c r="A12" t="s">
        <v>17</v>
      </c>
      <c r="B12">
        <v>6584190</v>
      </c>
      <c r="C12">
        <f t="shared" si="0"/>
        <v>-6584190</v>
      </c>
      <c r="D12">
        <v>6014391</v>
      </c>
    </row>
    <row r="13" spans="1:4" x14ac:dyDescent="0.3">
      <c r="A13" t="s">
        <v>18</v>
      </c>
      <c r="B13">
        <v>7091003</v>
      </c>
      <c r="C13">
        <f t="shared" si="0"/>
        <v>-7091003</v>
      </c>
      <c r="D13">
        <v>6549109</v>
      </c>
    </row>
    <row r="14" spans="1:4" x14ac:dyDescent="0.3">
      <c r="A14" t="s">
        <v>19</v>
      </c>
      <c r="B14">
        <v>8291111</v>
      </c>
      <c r="C14">
        <f t="shared" si="0"/>
        <v>-8291111</v>
      </c>
      <c r="D14">
        <v>7781059</v>
      </c>
    </row>
    <row r="15" spans="1:4" x14ac:dyDescent="0.3">
      <c r="A15" t="s">
        <v>20</v>
      </c>
      <c r="B15">
        <v>8345458</v>
      </c>
      <c r="C15">
        <f t="shared" si="0"/>
        <v>-8345458</v>
      </c>
      <c r="D15">
        <v>7827333</v>
      </c>
    </row>
    <row r="16" spans="1:4" x14ac:dyDescent="0.3">
      <c r="A16" t="s">
        <v>21</v>
      </c>
      <c r="B16">
        <v>7935832</v>
      </c>
      <c r="C16">
        <f t="shared" si="0"/>
        <v>-7935832</v>
      </c>
      <c r="D16">
        <v>7537285</v>
      </c>
    </row>
    <row r="17" spans="1:4" x14ac:dyDescent="0.3">
      <c r="A17" t="s">
        <v>22</v>
      </c>
      <c r="B17">
        <v>7842265</v>
      </c>
      <c r="C17">
        <f t="shared" si="0"/>
        <v>-7842265</v>
      </c>
      <c r="D17">
        <v>7627458</v>
      </c>
    </row>
    <row r="18" spans="1:4" x14ac:dyDescent="0.3">
      <c r="A18" t="s">
        <v>23</v>
      </c>
      <c r="B18">
        <v>7699157</v>
      </c>
      <c r="C18">
        <f t="shared" si="0"/>
        <v>-7699157</v>
      </c>
      <c r="D18">
        <v>7767306</v>
      </c>
    </row>
    <row r="19" spans="1:4" x14ac:dyDescent="0.3">
      <c r="A19" t="s">
        <v>24</v>
      </c>
      <c r="B19">
        <v>7058427</v>
      </c>
      <c r="C19">
        <f t="shared" si="0"/>
        <v>-7058427</v>
      </c>
      <c r="D19">
        <v>7317515</v>
      </c>
    </row>
    <row r="20" spans="1:4" x14ac:dyDescent="0.3">
      <c r="A20" t="s">
        <v>25</v>
      </c>
      <c r="B20">
        <v>6682215</v>
      </c>
      <c r="C20">
        <f t="shared" si="0"/>
        <v>-6682215</v>
      </c>
      <c r="D20">
        <v>6992746</v>
      </c>
    </row>
    <row r="21" spans="1:4" x14ac:dyDescent="0.3">
      <c r="A21" t="s">
        <v>26</v>
      </c>
      <c r="B21">
        <v>6738158</v>
      </c>
      <c r="C21">
        <f t="shared" si="0"/>
        <v>-6738158</v>
      </c>
      <c r="D21">
        <v>7011282</v>
      </c>
    </row>
    <row r="22" spans="1:4" x14ac:dyDescent="0.3">
      <c r="A22" t="s">
        <v>27</v>
      </c>
      <c r="B22">
        <v>6243171</v>
      </c>
      <c r="C22">
        <f t="shared" si="0"/>
        <v>-6243171</v>
      </c>
      <c r="D22">
        <v>6461689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Yroa Ferreira</cp:lastModifiedBy>
  <dcterms:modified xsi:type="dcterms:W3CDTF">2026-06-07T12:06:35Z</dcterms:modified>
</cp:coreProperties>
</file>
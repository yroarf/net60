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75" documentId="11_8BB9953F9E22BD5BC1ED50BBD0A0F0FD4F795D31" xr6:coauthVersionLast="47" xr6:coauthVersionMax="47" xr10:uidLastSave="{624A6070-3299-415F-91F1-CC0574C214DD}"/>
  <bookViews>
    <workbookView xWindow="-28920" yWindow="-120" windowWidth="29040" windowHeight="15720" activeTab="1" xr2:uid="{00000000-000D-0000-FFFF-FFFF00000000}"/>
  </bookViews>
  <sheets>
    <sheet name="Table 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" l="1"/>
  <c r="L18" i="2"/>
  <c r="L16" i="2"/>
  <c r="M15" i="2"/>
  <c r="L15" i="2"/>
  <c r="M14" i="2"/>
  <c r="L14" i="2"/>
  <c r="L11" i="2"/>
  <c r="L7" i="2"/>
  <c r="M10" i="2"/>
  <c r="L10" i="2"/>
  <c r="M9" i="2"/>
  <c r="L9" i="2"/>
  <c r="M6" i="2"/>
  <c r="L6" i="2"/>
  <c r="M4" i="2"/>
  <c r="L4" i="2"/>
  <c r="M3" i="2"/>
  <c r="L3" i="2"/>
</calcChain>
</file>

<file path=xl/sharedStrings.xml><?xml version="1.0" encoding="utf-8"?>
<sst xmlns="http://schemas.openxmlformats.org/spreadsheetml/2006/main" count="185" uniqueCount="50">
  <si>
    <r>
      <rPr>
        <b/>
        <sz val="9"/>
        <rFont val="Calibri"/>
        <family val="2"/>
      </rPr>
      <t xml:space="preserve">GRUPOS DE
</t>
    </r>
    <r>
      <rPr>
        <b/>
        <sz val="9"/>
        <rFont val="Calibri"/>
        <family val="2"/>
      </rPr>
      <t>IDADE</t>
    </r>
  </si>
  <si>
    <r>
      <rPr>
        <b/>
        <sz val="9"/>
        <rFont val="Calibri"/>
        <family val="2"/>
      </rPr>
      <t>CENSO 1940</t>
    </r>
  </si>
  <si>
    <r>
      <rPr>
        <b/>
        <sz val="9"/>
        <rFont val="Calibri"/>
        <family val="2"/>
      </rPr>
      <t>CENSO 1950</t>
    </r>
  </si>
  <si>
    <r>
      <rPr>
        <b/>
        <sz val="9"/>
        <rFont val="Calibri"/>
        <family val="2"/>
      </rPr>
      <t>CENSO 1960</t>
    </r>
  </si>
  <si>
    <r>
      <rPr>
        <b/>
        <sz val="9"/>
        <rFont val="Calibri"/>
        <family val="2"/>
      </rPr>
      <t>HOMENS</t>
    </r>
  </si>
  <si>
    <r>
      <rPr>
        <b/>
        <sz val="9"/>
        <rFont val="Calibri"/>
        <family val="2"/>
      </rPr>
      <t>MULHERES</t>
    </r>
  </si>
  <si>
    <r>
      <rPr>
        <b/>
        <sz val="9"/>
        <rFont val="Calibri"/>
        <family val="2"/>
      </rPr>
      <t>TOTAL</t>
    </r>
  </si>
  <si>
    <r>
      <rPr>
        <b/>
        <sz val="9"/>
        <rFont val="Calibri"/>
        <family val="2"/>
      </rPr>
      <t>0 A 4</t>
    </r>
  </si>
  <si>
    <r>
      <rPr>
        <b/>
        <sz val="9"/>
        <rFont val="Calibri"/>
        <family val="2"/>
      </rPr>
      <t>5 A 9</t>
    </r>
  </si>
  <si>
    <r>
      <rPr>
        <b/>
        <sz val="9"/>
        <rFont val="Calibri"/>
        <family val="2"/>
      </rPr>
      <t>10 A 14</t>
    </r>
  </si>
  <si>
    <r>
      <rPr>
        <b/>
        <sz val="9"/>
        <rFont val="Calibri"/>
        <family val="2"/>
      </rPr>
      <t>15 A 19</t>
    </r>
  </si>
  <si>
    <r>
      <rPr>
        <b/>
        <sz val="9"/>
        <rFont val="Calibri"/>
        <family val="2"/>
      </rPr>
      <t>20 A 24</t>
    </r>
  </si>
  <si>
    <r>
      <rPr>
        <b/>
        <sz val="9"/>
        <rFont val="Calibri"/>
        <family val="2"/>
      </rPr>
      <t>25 A 29</t>
    </r>
  </si>
  <si>
    <r>
      <rPr>
        <b/>
        <sz val="9"/>
        <rFont val="Calibri"/>
        <family val="2"/>
      </rPr>
      <t>30 A 34</t>
    </r>
  </si>
  <si>
    <r>
      <rPr>
        <b/>
        <sz val="9"/>
        <rFont val="Calibri"/>
        <family val="2"/>
      </rPr>
      <t>35 A 39</t>
    </r>
  </si>
  <si>
    <r>
      <rPr>
        <b/>
        <sz val="9"/>
        <rFont val="Calibri"/>
        <family val="2"/>
      </rPr>
      <t>40 A 44</t>
    </r>
  </si>
  <si>
    <r>
      <rPr>
        <b/>
        <sz val="9"/>
        <rFont val="Calibri"/>
        <family val="2"/>
      </rPr>
      <t>45 A 49</t>
    </r>
  </si>
  <si>
    <r>
      <rPr>
        <b/>
        <sz val="9"/>
        <rFont val="Calibri"/>
        <family val="2"/>
      </rPr>
      <t>50 A 54</t>
    </r>
  </si>
  <si>
    <r>
      <rPr>
        <b/>
        <sz val="9"/>
        <rFont val="Calibri"/>
        <family val="2"/>
      </rPr>
      <t>55 A 59</t>
    </r>
  </si>
  <si>
    <r>
      <rPr>
        <b/>
        <sz val="9"/>
        <rFont val="Calibri"/>
        <family val="2"/>
      </rPr>
      <t>60 A 64</t>
    </r>
  </si>
  <si>
    <r>
      <rPr>
        <b/>
        <sz val="9"/>
        <rFont val="Calibri"/>
        <family val="2"/>
      </rPr>
      <t>65 A 69</t>
    </r>
  </si>
  <si>
    <r>
      <rPr>
        <b/>
        <sz val="9"/>
        <rFont val="Calibri"/>
        <family val="2"/>
      </rPr>
      <t>70 A 74</t>
    </r>
  </si>
  <si>
    <r>
      <rPr>
        <b/>
        <sz val="9"/>
        <rFont val="Calibri"/>
        <family val="2"/>
      </rPr>
      <t>75 A 79</t>
    </r>
  </si>
  <si>
    <r>
      <rPr>
        <b/>
        <sz val="9"/>
        <rFont val="Calibri"/>
        <family val="2"/>
      </rPr>
      <t>80 A 84</t>
    </r>
  </si>
  <si>
    <r>
      <rPr>
        <b/>
        <sz val="9"/>
        <rFont val="Calibri"/>
        <family val="2"/>
      </rPr>
      <t>85 A 89</t>
    </r>
  </si>
  <si>
    <r>
      <rPr>
        <b/>
        <sz val="9"/>
        <rFont val="Calibri"/>
        <family val="2"/>
      </rPr>
      <t>90 A 94</t>
    </r>
  </si>
  <si>
    <r>
      <rPr>
        <b/>
        <sz val="9"/>
        <rFont val="Calibri"/>
        <family val="2"/>
      </rPr>
      <t>95 A 99</t>
    </r>
  </si>
  <si>
    <r>
      <rPr>
        <b/>
        <sz val="9"/>
        <rFont val="Calibri"/>
        <family val="2"/>
      </rPr>
      <t>100 E +</t>
    </r>
  </si>
  <si>
    <r>
      <rPr>
        <b/>
        <sz val="9"/>
        <rFont val="Calibri"/>
        <family val="2"/>
      </rPr>
      <t>IGNORADO</t>
    </r>
  </si>
  <si>
    <r>
      <rPr>
        <b/>
        <sz val="9"/>
        <rFont val="Calibri"/>
        <family val="2"/>
      </rPr>
      <t>Razão de Sexo</t>
    </r>
  </si>
  <si>
    <r>
      <rPr>
        <b/>
        <sz val="9"/>
        <rFont val="Calibri"/>
        <family val="2"/>
      </rPr>
      <t>Índice de envelhecimento</t>
    </r>
  </si>
  <si>
    <r>
      <rPr>
        <b/>
        <sz val="9"/>
        <rFont val="Calibri"/>
        <family val="2"/>
      </rPr>
      <t>Idade Mediana</t>
    </r>
  </si>
  <si>
    <r>
      <rPr>
        <b/>
        <sz val="9"/>
        <rFont val="Calibri"/>
        <family val="2"/>
      </rPr>
      <t>CENSO 1970</t>
    </r>
  </si>
  <si>
    <r>
      <rPr>
        <b/>
        <sz val="9"/>
        <rFont val="Calibri"/>
        <family val="2"/>
      </rPr>
      <t>CENSO 1980</t>
    </r>
  </si>
  <si>
    <r>
      <rPr>
        <b/>
        <sz val="9"/>
        <rFont val="Calibri"/>
        <family val="2"/>
      </rPr>
      <t>CENSO 1991</t>
    </r>
  </si>
  <si>
    <r>
      <rPr>
        <sz val="9"/>
        <rFont val="Calibri"/>
        <family val="2"/>
      </rPr>
      <t>*</t>
    </r>
  </si>
  <si>
    <r>
      <rPr>
        <sz val="9"/>
        <rFont val="Calibri"/>
        <family val="2"/>
      </rPr>
      <t>-</t>
    </r>
  </si>
  <si>
    <r>
      <rPr>
        <sz val="9"/>
        <rFont val="Calibri"/>
        <family val="2"/>
      </rPr>
      <t>* No Censo 1970 os dados foram divulgados até a idade de 99 anos. O grupo de 100 anos ou mais está contido no grupo de 95 a 99 anos.</t>
    </r>
  </si>
  <si>
    <r>
      <rPr>
        <b/>
        <sz val="9"/>
        <rFont val="Calibri"/>
        <family val="2"/>
      </rPr>
      <t>CENSO 2000</t>
    </r>
  </si>
  <si>
    <r>
      <rPr>
        <b/>
        <sz val="9"/>
        <rFont val="Calibri"/>
        <family val="2"/>
      </rPr>
      <t>CENSO 2010</t>
    </r>
  </si>
  <si>
    <r>
      <rPr>
        <b/>
        <sz val="9"/>
        <rFont val="Calibri"/>
        <family val="2"/>
      </rPr>
      <t>CENSO 2022</t>
    </r>
  </si>
  <si>
    <t>total 60+</t>
  </si>
  <si>
    <t>total população</t>
  </si>
  <si>
    <t>%60+</t>
  </si>
  <si>
    <t>variação %</t>
  </si>
  <si>
    <t>total 65+</t>
  </si>
  <si>
    <t>%65+</t>
  </si>
  <si>
    <t>total até 14</t>
  </si>
  <si>
    <t>%14-</t>
  </si>
  <si>
    <t>envelhecimento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</si>
</sst>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0"/>
      <color rgb="FF000000"/>
      <name val="Times New Roman"/>
      <charset val="204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9"/>
      <name val="Calibri"/>
      <family val="2"/>
    </font>
    <font>
      <sz val="9"/>
      <name val="Calibri"/>
      <family val="2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2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wrapText="1"/>
    </xf>
    <xf numFmtId="0" fontId="1" fillId="0" borderId="4" xfId="0" applyFont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 shrinkToFit="1"/>
    </xf>
    <xf numFmtId="0" fontId="1" fillId="0" borderId="6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wrapText="1"/>
    </xf>
    <xf numFmtId="0" fontId="1" fillId="0" borderId="6" xfId="0" applyFont="1" applyBorder="1" applyAlignment="1">
      <alignment horizontal="left" vertical="top" wrapText="1" indent="2"/>
    </xf>
    <xf numFmtId="3" fontId="2" fillId="0" borderId="4" xfId="0" applyNumberFormat="1" applyFont="1" applyBorder="1" applyAlignment="1">
      <alignment horizontal="left" vertical="top" indent="1" shrinkToFit="1"/>
    </xf>
    <xf numFmtId="3" fontId="2" fillId="0" borderId="0" xfId="0" applyNumberFormat="1" applyFont="1" applyAlignment="1">
      <alignment horizontal="left" vertical="top" indent="1" shrinkToFit="1"/>
    </xf>
    <xf numFmtId="3" fontId="2" fillId="0" borderId="0" xfId="0" applyNumberFormat="1" applyFont="1" applyAlignment="1">
      <alignment horizontal="left" vertical="top" indent="2" shrinkToFit="1"/>
    </xf>
    <xf numFmtId="3" fontId="2" fillId="0" borderId="0" xfId="0" applyNumberFormat="1" applyFont="1" applyAlignment="1">
      <alignment horizontal="left" vertical="top" indent="3" shrinkToFit="1"/>
    </xf>
    <xf numFmtId="3" fontId="2" fillId="0" borderId="0" xfId="0" applyNumberFormat="1" applyFont="1" applyAlignment="1">
      <alignment horizontal="left" vertical="top" indent="4" shrinkToFit="1"/>
    </xf>
    <xf numFmtId="3" fontId="2" fillId="0" borderId="6" xfId="0" applyNumberFormat="1" applyFont="1" applyBorder="1" applyAlignment="1">
      <alignment horizontal="left" vertical="top" indent="3" shrinkToFit="1"/>
    </xf>
    <xf numFmtId="0" fontId="1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right" vertical="top" wrapText="1"/>
    </xf>
    <xf numFmtId="3" fontId="0" fillId="0" borderId="0" xfId="0" applyNumberFormat="1" applyAlignment="1">
      <alignment horizontal="left" vertical="top"/>
    </xf>
    <xf numFmtId="165" fontId="0" fillId="0" borderId="0" xfId="1" applyNumberFormat="1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10" fontId="0" fillId="0" borderId="0" xfId="0" applyNumberFormat="1" applyAlignment="1">
      <alignment horizontal="left" vertical="top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opLeftCell="A54" workbookViewId="0">
      <selection activeCell="A58" sqref="A58:K85"/>
    </sheetView>
  </sheetViews>
  <sheetFormatPr defaultRowHeight="13.2" x14ac:dyDescent="0.25"/>
  <cols>
    <col min="1" max="1" width="11.5546875" customWidth="1"/>
    <col min="2" max="6" width="12.6640625" customWidth="1"/>
    <col min="7" max="7" width="11.5546875" customWidth="1"/>
    <col min="8" max="9" width="12.6640625" customWidth="1"/>
    <col min="10" max="10" width="11.5546875" customWidth="1"/>
    <col min="11" max="11" width="1.109375" customWidth="1"/>
    <col min="12" max="12" width="5.77734375" customWidth="1"/>
  </cols>
  <sheetData>
    <row r="1" spans="1:11" ht="16.95" customHeight="1" x14ac:dyDescent="0.25">
      <c r="A1" s="20" t="s">
        <v>0</v>
      </c>
      <c r="B1" s="1"/>
      <c r="C1" s="2" t="s">
        <v>1</v>
      </c>
      <c r="D1" s="3"/>
      <c r="E1" s="1"/>
      <c r="F1" s="2" t="s">
        <v>2</v>
      </c>
      <c r="G1" s="3"/>
      <c r="H1" s="1"/>
      <c r="I1" s="2" t="s">
        <v>3</v>
      </c>
      <c r="J1" s="22"/>
      <c r="K1" s="22"/>
    </row>
    <row r="2" spans="1:11" ht="16.05" customHeight="1" x14ac:dyDescent="0.25">
      <c r="A2" s="21"/>
      <c r="B2" s="5" t="s">
        <v>4</v>
      </c>
      <c r="C2" s="6" t="s">
        <v>5</v>
      </c>
      <c r="D2" s="7" t="s">
        <v>6</v>
      </c>
      <c r="E2" s="5" t="s">
        <v>4</v>
      </c>
      <c r="F2" s="6" t="s">
        <v>5</v>
      </c>
      <c r="G2" s="7" t="s">
        <v>6</v>
      </c>
      <c r="H2" s="5" t="s">
        <v>4</v>
      </c>
      <c r="I2" s="6" t="s">
        <v>5</v>
      </c>
      <c r="J2" s="23" t="s">
        <v>6</v>
      </c>
      <c r="K2" s="23"/>
    </row>
    <row r="3" spans="1:11" ht="16.05" customHeight="1" x14ac:dyDescent="0.25">
      <c r="A3" s="9" t="s">
        <v>6</v>
      </c>
      <c r="B3" s="10">
        <v>20614088</v>
      </c>
      <c r="C3" s="10">
        <v>20622227</v>
      </c>
      <c r="D3" s="10">
        <v>41236315</v>
      </c>
      <c r="E3" s="10">
        <v>25885001</v>
      </c>
      <c r="F3" s="10">
        <v>26059396</v>
      </c>
      <c r="G3" s="10">
        <v>51944397</v>
      </c>
      <c r="H3" s="10">
        <v>35059546</v>
      </c>
      <c r="I3" s="10">
        <v>35131824</v>
      </c>
      <c r="J3" s="24">
        <v>70191370</v>
      </c>
      <c r="K3" s="24"/>
    </row>
    <row r="4" spans="1:11" ht="13.95" customHeight="1" x14ac:dyDescent="0.25">
      <c r="A4" s="11" t="s">
        <v>7</v>
      </c>
      <c r="B4" s="12">
        <v>3255501</v>
      </c>
      <c r="C4" s="12">
        <v>3184149</v>
      </c>
      <c r="D4" s="12">
        <v>6439650</v>
      </c>
      <c r="E4" s="12">
        <v>4235876</v>
      </c>
      <c r="F4" s="12">
        <v>4135004</v>
      </c>
      <c r="G4" s="12">
        <v>8370880</v>
      </c>
      <c r="H4" s="12">
        <v>5687512</v>
      </c>
      <c r="I4" s="12">
        <v>5505877</v>
      </c>
      <c r="J4" s="25">
        <v>11193389</v>
      </c>
      <c r="K4" s="25"/>
    </row>
    <row r="5" spans="1:11" ht="15" customHeight="1" x14ac:dyDescent="0.25">
      <c r="A5" s="11" t="s">
        <v>8</v>
      </c>
      <c r="B5" s="12">
        <v>2923976</v>
      </c>
      <c r="C5" s="12">
        <v>2834840</v>
      </c>
      <c r="D5" s="12">
        <v>5758816</v>
      </c>
      <c r="E5" s="12">
        <v>3560850</v>
      </c>
      <c r="F5" s="12">
        <v>3454677</v>
      </c>
      <c r="G5" s="12">
        <v>7015527</v>
      </c>
      <c r="H5" s="12">
        <v>5170579</v>
      </c>
      <c r="I5" s="12">
        <v>4987844</v>
      </c>
      <c r="J5" s="25">
        <v>10158423</v>
      </c>
      <c r="K5" s="25"/>
    </row>
    <row r="6" spans="1:11" ht="13.95" customHeight="1" x14ac:dyDescent="0.25">
      <c r="A6" s="11" t="s">
        <v>9</v>
      </c>
      <c r="B6" s="12">
        <v>2682254</v>
      </c>
      <c r="C6" s="12">
        <v>2645826</v>
      </c>
      <c r="D6" s="12">
        <v>5328080</v>
      </c>
      <c r="E6" s="12">
        <v>3164704</v>
      </c>
      <c r="F6" s="12">
        <v>3143863</v>
      </c>
      <c r="G6" s="12">
        <v>6308567</v>
      </c>
      <c r="H6" s="12">
        <v>4297589</v>
      </c>
      <c r="I6" s="12">
        <v>4263367</v>
      </c>
      <c r="J6" s="26">
        <v>8560956</v>
      </c>
      <c r="K6" s="26"/>
    </row>
    <row r="7" spans="1:11" ht="15" customHeight="1" x14ac:dyDescent="0.25">
      <c r="A7" s="11" t="s">
        <v>10</v>
      </c>
      <c r="B7" s="12">
        <v>2157630</v>
      </c>
      <c r="C7" s="12">
        <v>2286293</v>
      </c>
      <c r="D7" s="12">
        <v>4443923</v>
      </c>
      <c r="E7" s="12">
        <v>2644531</v>
      </c>
      <c r="F7" s="12">
        <v>2857784</v>
      </c>
      <c r="G7" s="12">
        <v>5502315</v>
      </c>
      <c r="H7" s="12">
        <v>3452198</v>
      </c>
      <c r="I7" s="12">
        <v>3722613</v>
      </c>
      <c r="J7" s="26">
        <v>7174811</v>
      </c>
      <c r="K7" s="26"/>
    </row>
    <row r="8" spans="1:11" ht="13.95" customHeight="1" x14ac:dyDescent="0.25">
      <c r="A8" s="11" t="s">
        <v>11</v>
      </c>
      <c r="B8" s="12">
        <v>1835847</v>
      </c>
      <c r="C8" s="12">
        <v>1977508</v>
      </c>
      <c r="D8" s="12">
        <v>3813355</v>
      </c>
      <c r="E8" s="12">
        <v>2384460</v>
      </c>
      <c r="F8" s="12">
        <v>2606679</v>
      </c>
      <c r="G8" s="12">
        <v>4991139</v>
      </c>
      <c r="H8" s="12">
        <v>2993680</v>
      </c>
      <c r="I8" s="12">
        <v>3244240</v>
      </c>
      <c r="J8" s="26">
        <v>6237920</v>
      </c>
      <c r="K8" s="26"/>
    </row>
    <row r="9" spans="1:11" ht="13.95" customHeight="1" x14ac:dyDescent="0.25">
      <c r="A9" s="11" t="s">
        <v>12</v>
      </c>
      <c r="B9" s="12">
        <v>1649306</v>
      </c>
      <c r="C9" s="12">
        <v>1707064</v>
      </c>
      <c r="D9" s="12">
        <v>3356370</v>
      </c>
      <c r="E9" s="12">
        <v>2030312</v>
      </c>
      <c r="F9" s="12">
        <v>2101959</v>
      </c>
      <c r="G9" s="12">
        <v>4132271</v>
      </c>
      <c r="H9" s="12">
        <v>2545283</v>
      </c>
      <c r="I9" s="12">
        <v>2700565</v>
      </c>
      <c r="J9" s="26">
        <v>5245848</v>
      </c>
      <c r="K9" s="26"/>
    </row>
    <row r="10" spans="1:11" ht="15" customHeight="1" x14ac:dyDescent="0.25">
      <c r="A10" s="11" t="s">
        <v>13</v>
      </c>
      <c r="B10" s="12">
        <v>1300051</v>
      </c>
      <c r="C10" s="12">
        <v>1281173</v>
      </c>
      <c r="D10" s="12">
        <v>2581224</v>
      </c>
      <c r="E10" s="12">
        <v>1621739</v>
      </c>
      <c r="F10" s="12">
        <v>1623307</v>
      </c>
      <c r="G10" s="12">
        <v>3245046</v>
      </c>
      <c r="H10" s="12">
        <v>2254266</v>
      </c>
      <c r="I10" s="12">
        <v>2265538</v>
      </c>
      <c r="J10" s="26">
        <v>4519804</v>
      </c>
      <c r="K10" s="26"/>
    </row>
    <row r="11" spans="1:11" ht="13.95" customHeight="1" x14ac:dyDescent="0.25">
      <c r="A11" s="11" t="s">
        <v>14</v>
      </c>
      <c r="B11" s="12">
        <v>1166448</v>
      </c>
      <c r="C11" s="12">
        <v>1154010</v>
      </c>
      <c r="D11" s="12">
        <v>2320458</v>
      </c>
      <c r="E11" s="12">
        <v>1523976</v>
      </c>
      <c r="F11" s="12">
        <v>1517030</v>
      </c>
      <c r="G11" s="12">
        <v>3041006</v>
      </c>
      <c r="H11" s="12">
        <v>1973919</v>
      </c>
      <c r="I11" s="12">
        <v>1992655</v>
      </c>
      <c r="J11" s="26">
        <v>3966574</v>
      </c>
      <c r="K11" s="26"/>
    </row>
    <row r="12" spans="1:11" ht="15" customHeight="1" x14ac:dyDescent="0.25">
      <c r="A12" s="11" t="s">
        <v>15</v>
      </c>
      <c r="B12" s="12">
        <v>1003556</v>
      </c>
      <c r="C12" s="12">
        <v>946182</v>
      </c>
      <c r="D12" s="12">
        <v>1949738</v>
      </c>
      <c r="E12" s="12">
        <v>1227552</v>
      </c>
      <c r="F12" s="12">
        <v>1161114</v>
      </c>
      <c r="G12" s="12">
        <v>2388666</v>
      </c>
      <c r="H12" s="12">
        <v>1658476</v>
      </c>
      <c r="I12" s="12">
        <v>1578883</v>
      </c>
      <c r="J12" s="26">
        <v>3237359</v>
      </c>
      <c r="K12" s="26"/>
    </row>
    <row r="13" spans="1:11" ht="13.95" customHeight="1" x14ac:dyDescent="0.25">
      <c r="A13" s="11" t="s">
        <v>16</v>
      </c>
      <c r="B13" s="12">
        <v>786026</v>
      </c>
      <c r="C13" s="12">
        <v>705963</v>
      </c>
      <c r="D13" s="12">
        <v>1491989</v>
      </c>
      <c r="E13" s="12">
        <v>1018555</v>
      </c>
      <c r="F13" s="12">
        <v>958138</v>
      </c>
      <c r="G13" s="12">
        <v>1976693</v>
      </c>
      <c r="H13" s="12">
        <v>1392602</v>
      </c>
      <c r="I13" s="12">
        <v>1320727</v>
      </c>
      <c r="J13" s="26">
        <v>2713329</v>
      </c>
      <c r="K13" s="26"/>
    </row>
    <row r="14" spans="1:11" ht="13.95" customHeight="1" x14ac:dyDescent="0.25">
      <c r="A14" s="11" t="s">
        <v>17</v>
      </c>
      <c r="B14" s="12">
        <v>640652</v>
      </c>
      <c r="C14" s="12">
        <v>605718</v>
      </c>
      <c r="D14" s="12">
        <v>1246370</v>
      </c>
      <c r="E14" s="12">
        <v>810892</v>
      </c>
      <c r="F14" s="12">
        <v>773782</v>
      </c>
      <c r="G14" s="12">
        <v>1584674</v>
      </c>
      <c r="H14" s="12">
        <v>1110873</v>
      </c>
      <c r="I14" s="12">
        <v>1050074</v>
      </c>
      <c r="J14" s="26">
        <v>2160947</v>
      </c>
      <c r="K14" s="26"/>
    </row>
    <row r="15" spans="1:11" ht="15" customHeight="1" x14ac:dyDescent="0.25">
      <c r="A15" s="11" t="s">
        <v>18</v>
      </c>
      <c r="B15" s="12">
        <v>412801</v>
      </c>
      <c r="C15" s="12">
        <v>385736</v>
      </c>
      <c r="D15" s="12">
        <v>798537</v>
      </c>
      <c r="E15" s="12">
        <v>549688</v>
      </c>
      <c r="F15" s="12">
        <v>515952</v>
      </c>
      <c r="G15" s="12">
        <v>1065640</v>
      </c>
      <c r="H15" s="12">
        <v>822979</v>
      </c>
      <c r="I15" s="12">
        <v>769041</v>
      </c>
      <c r="J15" s="26">
        <v>1592020</v>
      </c>
      <c r="K15" s="26"/>
    </row>
    <row r="16" spans="1:11" ht="13.95" customHeight="1" x14ac:dyDescent="0.25">
      <c r="A16" s="11" t="s">
        <v>19</v>
      </c>
      <c r="B16" s="12">
        <v>337854</v>
      </c>
      <c r="C16" s="12">
        <v>352095</v>
      </c>
      <c r="D16" s="12">
        <v>689949</v>
      </c>
      <c r="E16" s="12">
        <v>473409</v>
      </c>
      <c r="F16" s="12">
        <v>462763</v>
      </c>
      <c r="G16" s="12">
        <v>936172</v>
      </c>
      <c r="H16" s="12">
        <v>720653</v>
      </c>
      <c r="I16" s="12">
        <v>682309</v>
      </c>
      <c r="J16" s="26">
        <v>1402962</v>
      </c>
      <c r="K16" s="26"/>
    </row>
    <row r="17" spans="1:12" ht="15" customHeight="1" x14ac:dyDescent="0.25">
      <c r="A17" s="11" t="s">
        <v>20</v>
      </c>
      <c r="B17" s="12">
        <v>186801</v>
      </c>
      <c r="C17" s="12">
        <v>199389</v>
      </c>
      <c r="D17" s="12">
        <v>386190</v>
      </c>
      <c r="E17" s="12">
        <v>255393</v>
      </c>
      <c r="F17" s="12">
        <v>259903</v>
      </c>
      <c r="G17" s="12">
        <v>515296</v>
      </c>
      <c r="H17" s="12">
        <v>399676</v>
      </c>
      <c r="I17" s="12">
        <v>388000</v>
      </c>
      <c r="J17" s="26">
        <v>787676</v>
      </c>
      <c r="K17" s="26"/>
    </row>
    <row r="18" spans="1:12" ht="13.95" customHeight="1" x14ac:dyDescent="0.25">
      <c r="A18" s="11" t="s">
        <v>21</v>
      </c>
      <c r="B18" s="12">
        <v>127835</v>
      </c>
      <c r="C18" s="12">
        <v>156055</v>
      </c>
      <c r="D18" s="12">
        <v>283890</v>
      </c>
      <c r="E18" s="12">
        <v>164773</v>
      </c>
      <c r="F18" s="12">
        <v>195617</v>
      </c>
      <c r="G18" s="12">
        <v>360390</v>
      </c>
      <c r="H18" s="12">
        <v>273595</v>
      </c>
      <c r="I18" s="12">
        <v>287883</v>
      </c>
      <c r="J18" s="26">
        <v>561478</v>
      </c>
      <c r="K18" s="26"/>
    </row>
    <row r="19" spans="1:12" ht="13.95" customHeight="1" x14ac:dyDescent="0.25">
      <c r="A19" s="11" t="s">
        <v>22</v>
      </c>
      <c r="B19" s="12">
        <v>65191</v>
      </c>
      <c r="C19" s="12">
        <v>78603</v>
      </c>
      <c r="D19" s="12">
        <v>143794</v>
      </c>
      <c r="E19" s="12">
        <v>82982</v>
      </c>
      <c r="F19" s="12">
        <v>101798</v>
      </c>
      <c r="G19" s="12">
        <v>184780</v>
      </c>
      <c r="H19" s="12">
        <v>137433</v>
      </c>
      <c r="I19" s="12">
        <v>150806</v>
      </c>
      <c r="J19" s="26">
        <v>288239</v>
      </c>
      <c r="K19" s="26"/>
    </row>
    <row r="20" spans="1:12" ht="15" customHeight="1" x14ac:dyDescent="0.25">
      <c r="A20" s="11" t="s">
        <v>23</v>
      </c>
      <c r="B20" s="12">
        <v>39610</v>
      </c>
      <c r="C20" s="12">
        <v>58241</v>
      </c>
      <c r="D20" s="12">
        <v>97851</v>
      </c>
      <c r="E20" s="12">
        <v>48127</v>
      </c>
      <c r="F20" s="12">
        <v>70701</v>
      </c>
      <c r="G20" s="12">
        <v>118828</v>
      </c>
      <c r="H20" s="12">
        <v>72962</v>
      </c>
      <c r="I20" s="12">
        <v>97247</v>
      </c>
      <c r="J20" s="26">
        <v>170209</v>
      </c>
      <c r="K20" s="26"/>
    </row>
    <row r="21" spans="1:12" ht="13.95" customHeight="1" x14ac:dyDescent="0.25">
      <c r="A21" s="11" t="s">
        <v>24</v>
      </c>
      <c r="B21" s="12">
        <v>14410</v>
      </c>
      <c r="C21" s="12">
        <v>21031</v>
      </c>
      <c r="D21" s="12">
        <v>35441</v>
      </c>
      <c r="E21" s="12">
        <v>18357</v>
      </c>
      <c r="F21" s="12">
        <v>27978</v>
      </c>
      <c r="G21" s="12">
        <v>46335</v>
      </c>
      <c r="H21" s="12">
        <v>27537</v>
      </c>
      <c r="I21" s="12">
        <v>39358</v>
      </c>
      <c r="J21" s="27">
        <v>66895</v>
      </c>
      <c r="K21" s="27"/>
    </row>
    <row r="22" spans="1:12" ht="15" customHeight="1" x14ac:dyDescent="0.25">
      <c r="A22" s="11" t="s">
        <v>25</v>
      </c>
      <c r="B22" s="12">
        <v>7297</v>
      </c>
      <c r="C22" s="12">
        <v>13436</v>
      </c>
      <c r="D22" s="12">
        <v>20733</v>
      </c>
      <c r="E22" s="12">
        <v>8058</v>
      </c>
      <c r="F22" s="12">
        <v>15408</v>
      </c>
      <c r="G22" s="12">
        <v>23466</v>
      </c>
      <c r="H22" s="12">
        <v>10806</v>
      </c>
      <c r="I22" s="12">
        <v>19508</v>
      </c>
      <c r="J22" s="27">
        <v>30314</v>
      </c>
      <c r="K22" s="27"/>
    </row>
    <row r="23" spans="1:12" ht="13.95" customHeight="1" x14ac:dyDescent="0.25">
      <c r="A23" s="11" t="s">
        <v>26</v>
      </c>
      <c r="B23" s="12">
        <v>3519</v>
      </c>
      <c r="C23" s="12">
        <v>6278</v>
      </c>
      <c r="D23" s="12">
        <v>6098</v>
      </c>
      <c r="E23" s="12">
        <v>3600</v>
      </c>
      <c r="F23" s="12">
        <v>6785</v>
      </c>
      <c r="G23" s="12">
        <v>10385</v>
      </c>
      <c r="H23" s="12">
        <v>4929</v>
      </c>
      <c r="I23" s="12">
        <v>8418</v>
      </c>
      <c r="J23" s="27">
        <v>13347</v>
      </c>
      <c r="K23" s="27"/>
    </row>
    <row r="24" spans="1:12" ht="13.95" customHeight="1" x14ac:dyDescent="0.25">
      <c r="A24" s="11" t="s">
        <v>27</v>
      </c>
      <c r="B24" s="12">
        <v>2854</v>
      </c>
      <c r="C24" s="12">
        <v>5035</v>
      </c>
      <c r="D24" s="12">
        <v>7889</v>
      </c>
      <c r="E24" s="12">
        <v>3290</v>
      </c>
      <c r="F24" s="12">
        <v>6399</v>
      </c>
      <c r="G24" s="12">
        <v>9689</v>
      </c>
      <c r="H24" s="12">
        <v>3483</v>
      </c>
      <c r="I24" s="12">
        <v>6393</v>
      </c>
      <c r="J24" s="28">
        <v>9876</v>
      </c>
      <c r="K24" s="28"/>
    </row>
    <row r="25" spans="1:12" ht="13.95" customHeight="1" x14ac:dyDescent="0.25">
      <c r="A25" s="13" t="s">
        <v>28</v>
      </c>
      <c r="B25" s="14">
        <v>14669</v>
      </c>
      <c r="C25" s="14">
        <v>17602</v>
      </c>
      <c r="D25" s="14">
        <v>32271</v>
      </c>
      <c r="E25" s="14">
        <v>53877</v>
      </c>
      <c r="F25" s="14">
        <v>62755</v>
      </c>
      <c r="G25" s="14">
        <v>116632</v>
      </c>
      <c r="H25" s="14">
        <v>48516</v>
      </c>
      <c r="I25" s="14">
        <v>50478</v>
      </c>
      <c r="J25" s="29">
        <v>98994</v>
      </c>
      <c r="K25" s="29"/>
    </row>
    <row r="26" spans="1:12" ht="39" customHeight="1" x14ac:dyDescent="0.25">
      <c r="A26" s="30" t="s">
        <v>29</v>
      </c>
      <c r="B26" s="30"/>
      <c r="C26" s="31">
        <v>100</v>
      </c>
      <c r="D26" s="31"/>
      <c r="E26" s="31">
        <v>99.3</v>
      </c>
      <c r="F26" s="31"/>
      <c r="G26" s="31"/>
      <c r="H26" s="31">
        <v>99.8</v>
      </c>
      <c r="I26" s="31"/>
      <c r="J26" s="31"/>
      <c r="K26" s="16"/>
    </row>
    <row r="27" spans="1:12" ht="15" customHeight="1" x14ac:dyDescent="0.25">
      <c r="A27" s="32" t="s">
        <v>30</v>
      </c>
      <c r="B27" s="32"/>
      <c r="C27" s="33">
        <v>5.6</v>
      </c>
      <c r="D27" s="33"/>
      <c r="E27" s="33">
        <v>5.9</v>
      </c>
      <c r="F27" s="33"/>
      <c r="G27" s="33"/>
      <c r="H27" s="33">
        <v>6.4</v>
      </c>
      <c r="I27" s="33"/>
      <c r="J27" s="33"/>
      <c r="K27" s="17"/>
    </row>
    <row r="28" spans="1:12" ht="13.5" customHeight="1" x14ac:dyDescent="0.25">
      <c r="A28" s="32" t="s">
        <v>31</v>
      </c>
      <c r="B28" s="32"/>
      <c r="C28" s="33">
        <v>18</v>
      </c>
      <c r="D28" s="33"/>
      <c r="E28" s="33">
        <v>18</v>
      </c>
      <c r="F28" s="33"/>
      <c r="G28" s="33"/>
      <c r="H28" s="33">
        <v>18</v>
      </c>
      <c r="I28" s="33"/>
      <c r="J28" s="33"/>
      <c r="K28" s="17"/>
    </row>
    <row r="29" spans="1:12" ht="16.5" customHeight="1" x14ac:dyDescent="0.25">
      <c r="A29" s="20" t="s">
        <v>0</v>
      </c>
      <c r="B29" s="1"/>
      <c r="C29" s="2" t="s">
        <v>32</v>
      </c>
      <c r="D29" s="3"/>
      <c r="E29" s="1"/>
      <c r="F29" s="2" t="s">
        <v>33</v>
      </c>
      <c r="G29" s="3"/>
      <c r="H29" s="1"/>
      <c r="I29" s="2" t="s">
        <v>34</v>
      </c>
      <c r="J29" s="4"/>
      <c r="K29" s="34"/>
      <c r="L29" s="34"/>
    </row>
    <row r="30" spans="1:12" ht="16.05" customHeight="1" x14ac:dyDescent="0.25">
      <c r="A30" s="21"/>
      <c r="B30" s="5" t="s">
        <v>4</v>
      </c>
      <c r="C30" s="6" t="s">
        <v>5</v>
      </c>
      <c r="D30" s="7" t="s">
        <v>6</v>
      </c>
      <c r="E30" s="5" t="s">
        <v>4</v>
      </c>
      <c r="F30" s="6" t="s">
        <v>5</v>
      </c>
      <c r="G30" s="7" t="s">
        <v>6</v>
      </c>
      <c r="H30" s="5" t="s">
        <v>4</v>
      </c>
      <c r="I30" s="6" t="s">
        <v>5</v>
      </c>
      <c r="J30" s="8" t="s">
        <v>6</v>
      </c>
      <c r="K30" s="34"/>
      <c r="L30" s="34"/>
    </row>
    <row r="31" spans="1:12" ht="16.05" customHeight="1" x14ac:dyDescent="0.25">
      <c r="A31" s="9" t="s">
        <v>6</v>
      </c>
      <c r="B31" s="10">
        <v>46331343</v>
      </c>
      <c r="C31" s="10">
        <v>46807694</v>
      </c>
      <c r="D31" s="10">
        <v>93139037</v>
      </c>
      <c r="E31" s="10">
        <v>59123361</v>
      </c>
      <c r="F31" s="10">
        <v>59879345</v>
      </c>
      <c r="G31" s="10">
        <v>119002706</v>
      </c>
      <c r="H31" s="10">
        <v>72485122</v>
      </c>
      <c r="I31" s="10">
        <v>74340353</v>
      </c>
      <c r="J31" s="10">
        <v>146825475</v>
      </c>
      <c r="K31" s="34"/>
      <c r="L31" s="34"/>
    </row>
    <row r="32" spans="1:12" ht="13.95" customHeight="1" x14ac:dyDescent="0.25">
      <c r="A32" s="11" t="s">
        <v>7</v>
      </c>
      <c r="B32" s="12">
        <v>6969945</v>
      </c>
      <c r="C32" s="12">
        <v>6841861</v>
      </c>
      <c r="D32" s="12">
        <v>13811806</v>
      </c>
      <c r="E32" s="12">
        <v>8308896</v>
      </c>
      <c r="F32" s="12">
        <v>8114804</v>
      </c>
      <c r="G32" s="12">
        <v>16423700</v>
      </c>
      <c r="H32" s="12">
        <v>8379650</v>
      </c>
      <c r="I32" s="12">
        <v>8141464</v>
      </c>
      <c r="J32" s="12">
        <v>16521114</v>
      </c>
      <c r="K32" s="34"/>
      <c r="L32" s="34"/>
    </row>
    <row r="33" spans="1:12" ht="15" customHeight="1" x14ac:dyDescent="0.25">
      <c r="A33" s="11" t="s">
        <v>8</v>
      </c>
      <c r="B33" s="12">
        <v>6799972</v>
      </c>
      <c r="C33" s="12">
        <v>6659536</v>
      </c>
      <c r="D33" s="12">
        <v>13459508</v>
      </c>
      <c r="E33" s="12">
        <v>7477407</v>
      </c>
      <c r="F33" s="12">
        <v>7296334</v>
      </c>
      <c r="G33" s="12">
        <v>14773741</v>
      </c>
      <c r="H33" s="12">
        <v>8836268</v>
      </c>
      <c r="I33" s="12">
        <v>8583891</v>
      </c>
      <c r="J33" s="12">
        <v>17420159</v>
      </c>
      <c r="K33" s="34"/>
      <c r="L33" s="34"/>
    </row>
    <row r="34" spans="1:12" ht="13.95" customHeight="1" x14ac:dyDescent="0.25">
      <c r="A34" s="11" t="s">
        <v>9</v>
      </c>
      <c r="B34" s="12">
        <v>5934189</v>
      </c>
      <c r="C34" s="12">
        <v>5924930</v>
      </c>
      <c r="D34" s="12">
        <v>11859119</v>
      </c>
      <c r="E34" s="12">
        <v>7159059</v>
      </c>
      <c r="F34" s="12">
        <v>7104263</v>
      </c>
      <c r="G34" s="12">
        <v>14263322</v>
      </c>
      <c r="H34" s="12">
        <v>8585508</v>
      </c>
      <c r="I34" s="12">
        <v>8461651</v>
      </c>
      <c r="J34" s="12">
        <v>17047159</v>
      </c>
      <c r="K34" s="34"/>
      <c r="L34" s="34"/>
    </row>
    <row r="35" spans="1:12" ht="15" customHeight="1" x14ac:dyDescent="0.25">
      <c r="A35" s="11" t="s">
        <v>10</v>
      </c>
      <c r="B35" s="12">
        <v>4995432</v>
      </c>
      <c r="C35" s="12">
        <v>5257851</v>
      </c>
      <c r="D35" s="12">
        <v>10253283</v>
      </c>
      <c r="E35" s="12">
        <v>6705955</v>
      </c>
      <c r="F35" s="12">
        <v>6870016</v>
      </c>
      <c r="G35" s="12">
        <v>13575971</v>
      </c>
      <c r="H35" s="12">
        <v>7460490</v>
      </c>
      <c r="I35" s="12">
        <v>7556982</v>
      </c>
      <c r="J35" s="12">
        <v>15017472</v>
      </c>
      <c r="K35" s="34"/>
      <c r="L35" s="34"/>
    </row>
    <row r="36" spans="1:12" ht="13.95" customHeight="1" x14ac:dyDescent="0.25">
      <c r="A36" s="11" t="s">
        <v>11</v>
      </c>
      <c r="B36" s="12">
        <v>4037135</v>
      </c>
      <c r="C36" s="12">
        <v>4248670</v>
      </c>
      <c r="D36" s="12">
        <v>8285805</v>
      </c>
      <c r="E36" s="12">
        <v>5673908</v>
      </c>
      <c r="F36" s="12">
        <v>5839312</v>
      </c>
      <c r="G36" s="12">
        <v>11513220</v>
      </c>
      <c r="H36" s="12">
        <v>6712435</v>
      </c>
      <c r="I36" s="12">
        <v>6852443</v>
      </c>
      <c r="J36" s="12">
        <v>13564878</v>
      </c>
      <c r="K36" s="34"/>
      <c r="L36" s="34"/>
    </row>
    <row r="37" spans="1:12" ht="13.95" customHeight="1" x14ac:dyDescent="0.25">
      <c r="A37" s="11" t="s">
        <v>12</v>
      </c>
      <c r="B37" s="12">
        <v>3173285</v>
      </c>
      <c r="C37" s="12">
        <v>3330784</v>
      </c>
      <c r="D37" s="12">
        <v>6504069</v>
      </c>
      <c r="E37" s="12">
        <v>4641370</v>
      </c>
      <c r="F37" s="12">
        <v>4800847</v>
      </c>
      <c r="G37" s="12">
        <v>9442217</v>
      </c>
      <c r="H37" s="12">
        <v>6174959</v>
      </c>
      <c r="I37" s="12">
        <v>6463119</v>
      </c>
      <c r="J37" s="12">
        <v>12638078</v>
      </c>
      <c r="K37" s="34"/>
      <c r="L37" s="34"/>
    </row>
    <row r="38" spans="1:12" ht="15" customHeight="1" x14ac:dyDescent="0.25">
      <c r="A38" s="11" t="s">
        <v>13</v>
      </c>
      <c r="B38" s="12">
        <v>2800657</v>
      </c>
      <c r="C38" s="12">
        <v>2864283</v>
      </c>
      <c r="D38" s="12">
        <v>5664940</v>
      </c>
      <c r="E38" s="12">
        <v>3800551</v>
      </c>
      <c r="F38" s="12">
        <v>3885739</v>
      </c>
      <c r="G38" s="12">
        <v>7686290</v>
      </c>
      <c r="H38" s="12">
        <v>5406785</v>
      </c>
      <c r="I38" s="12">
        <v>5656708</v>
      </c>
      <c r="J38" s="12">
        <v>11063493</v>
      </c>
      <c r="K38" s="34"/>
      <c r="L38" s="34"/>
    </row>
    <row r="39" spans="1:12" ht="13.95" customHeight="1" x14ac:dyDescent="0.25">
      <c r="A39" s="11" t="s">
        <v>14</v>
      </c>
      <c r="B39" s="12">
        <v>2502123</v>
      </c>
      <c r="C39" s="12">
        <v>2587189</v>
      </c>
      <c r="D39" s="12">
        <v>5089312</v>
      </c>
      <c r="E39" s="12">
        <v>3126424</v>
      </c>
      <c r="F39" s="12">
        <v>3226395</v>
      </c>
      <c r="G39" s="12">
        <v>6352819</v>
      </c>
      <c r="H39" s="12">
        <v>4597824</v>
      </c>
      <c r="I39" s="12">
        <v>4865939</v>
      </c>
      <c r="J39" s="12">
        <v>9463763</v>
      </c>
      <c r="K39" s="34"/>
      <c r="L39" s="34"/>
    </row>
    <row r="40" spans="1:12" ht="15" customHeight="1" x14ac:dyDescent="0.25">
      <c r="A40" s="11" t="s">
        <v>15</v>
      </c>
      <c r="B40" s="12">
        <v>2288260</v>
      </c>
      <c r="C40" s="12">
        <v>2247332</v>
      </c>
      <c r="D40" s="12">
        <v>4535592</v>
      </c>
      <c r="E40" s="12">
        <v>2853850</v>
      </c>
      <c r="F40" s="12">
        <v>2870031</v>
      </c>
      <c r="G40" s="12">
        <v>5723881</v>
      </c>
      <c r="H40" s="12">
        <v>3860918</v>
      </c>
      <c r="I40" s="12">
        <v>3973796</v>
      </c>
      <c r="J40" s="12">
        <v>7834714</v>
      </c>
      <c r="K40" s="34"/>
      <c r="L40" s="34"/>
    </row>
    <row r="41" spans="1:12" ht="13.95" customHeight="1" x14ac:dyDescent="0.25">
      <c r="A41" s="11" t="s">
        <v>16</v>
      </c>
      <c r="B41" s="12">
        <v>1795031</v>
      </c>
      <c r="C41" s="12">
        <v>1751654</v>
      </c>
      <c r="D41" s="12">
        <v>3546685</v>
      </c>
      <c r="E41" s="12">
        <v>2300995</v>
      </c>
      <c r="F41" s="12">
        <v>2352398</v>
      </c>
      <c r="G41" s="12">
        <v>4653393</v>
      </c>
      <c r="H41" s="12">
        <v>2994785</v>
      </c>
      <c r="I41" s="12">
        <v>3129903</v>
      </c>
      <c r="J41" s="12">
        <v>6124688</v>
      </c>
      <c r="K41" s="34"/>
      <c r="L41" s="34"/>
    </row>
    <row r="42" spans="1:12" ht="13.95" customHeight="1" x14ac:dyDescent="0.25">
      <c r="A42" s="11" t="s">
        <v>17</v>
      </c>
      <c r="B42" s="12">
        <v>1486365</v>
      </c>
      <c r="C42" s="12">
        <v>1453992</v>
      </c>
      <c r="D42" s="12">
        <v>2940357</v>
      </c>
      <c r="E42" s="12">
        <v>2035767</v>
      </c>
      <c r="F42" s="12">
        <v>2073493</v>
      </c>
      <c r="G42" s="12">
        <v>4109260</v>
      </c>
      <c r="H42" s="12">
        <v>2526581</v>
      </c>
      <c r="I42" s="12">
        <v>2638547</v>
      </c>
      <c r="J42" s="12">
        <v>5165128</v>
      </c>
      <c r="K42" s="34"/>
      <c r="L42" s="34"/>
    </row>
    <row r="43" spans="1:12" ht="15" customHeight="1" x14ac:dyDescent="0.25">
      <c r="A43" s="11" t="s">
        <v>18</v>
      </c>
      <c r="B43" s="12">
        <v>1160154</v>
      </c>
      <c r="C43" s="12">
        <v>1128221</v>
      </c>
      <c r="D43" s="12">
        <v>2288375</v>
      </c>
      <c r="E43" s="12">
        <v>1560536</v>
      </c>
      <c r="F43" s="12">
        <v>1580298</v>
      </c>
      <c r="G43" s="12">
        <v>3140834</v>
      </c>
      <c r="H43" s="12">
        <v>2017494</v>
      </c>
      <c r="I43" s="12">
        <v>2224630</v>
      </c>
      <c r="J43" s="12">
        <v>4242124</v>
      </c>
      <c r="K43" s="34"/>
      <c r="L43" s="34"/>
    </row>
    <row r="44" spans="1:12" ht="13.95" customHeight="1" x14ac:dyDescent="0.25">
      <c r="A44" s="11" t="s">
        <v>19</v>
      </c>
      <c r="B44" s="12">
        <v>903253</v>
      </c>
      <c r="C44" s="12">
        <v>887874</v>
      </c>
      <c r="D44" s="12">
        <v>1791127</v>
      </c>
      <c r="E44" s="12">
        <v>1187862</v>
      </c>
      <c r="F44" s="12">
        <v>1257723</v>
      </c>
      <c r="G44" s="12">
        <v>2445585</v>
      </c>
      <c r="H44" s="12">
        <v>1715601</v>
      </c>
      <c r="I44" s="12">
        <v>1921257</v>
      </c>
      <c r="J44" s="12">
        <v>3636858</v>
      </c>
      <c r="K44" s="34"/>
      <c r="L44" s="34"/>
    </row>
    <row r="45" spans="1:12" ht="15" customHeight="1" x14ac:dyDescent="0.25">
      <c r="A45" s="11" t="s">
        <v>20</v>
      </c>
      <c r="B45" s="12">
        <v>604750</v>
      </c>
      <c r="C45" s="12">
        <v>611760</v>
      </c>
      <c r="D45" s="12">
        <v>1216510</v>
      </c>
      <c r="E45" s="12">
        <v>982474</v>
      </c>
      <c r="F45" s="12">
        <v>1046452</v>
      </c>
      <c r="G45" s="12">
        <v>2028926</v>
      </c>
      <c r="H45" s="12">
        <v>1308343</v>
      </c>
      <c r="I45" s="12">
        <v>1467717</v>
      </c>
      <c r="J45" s="12">
        <v>2776060</v>
      </c>
      <c r="K45" s="34"/>
      <c r="L45" s="34"/>
    </row>
    <row r="46" spans="1:12" ht="13.95" customHeight="1" x14ac:dyDescent="0.25">
      <c r="A46" s="11" t="s">
        <v>21</v>
      </c>
      <c r="B46" s="12">
        <v>388655</v>
      </c>
      <c r="C46" s="12">
        <v>416525</v>
      </c>
      <c r="D46" s="12">
        <v>805180</v>
      </c>
      <c r="E46" s="12">
        <v>625114</v>
      </c>
      <c r="F46" s="12">
        <v>691466</v>
      </c>
      <c r="G46" s="12">
        <v>1316580</v>
      </c>
      <c r="H46" s="12">
        <v>872424</v>
      </c>
      <c r="I46" s="12">
        <v>1017494</v>
      </c>
      <c r="J46" s="12">
        <v>1889918</v>
      </c>
      <c r="K46" s="34"/>
      <c r="L46" s="34"/>
    </row>
    <row r="47" spans="1:12" ht="13.95" customHeight="1" x14ac:dyDescent="0.25">
      <c r="A47" s="11" t="s">
        <v>22</v>
      </c>
      <c r="B47" s="12">
        <v>195476</v>
      </c>
      <c r="C47" s="12">
        <v>223444</v>
      </c>
      <c r="D47" s="12">
        <v>418920</v>
      </c>
      <c r="E47" s="12">
        <v>377781</v>
      </c>
      <c r="F47" s="12">
        <v>454646</v>
      </c>
      <c r="G47" s="12">
        <v>832427</v>
      </c>
      <c r="H47" s="12">
        <v>575738</v>
      </c>
      <c r="I47" s="12">
        <v>714480</v>
      </c>
      <c r="J47" s="12">
        <v>1290218</v>
      </c>
      <c r="K47" s="34"/>
      <c r="L47" s="34"/>
    </row>
    <row r="48" spans="1:12" ht="15" customHeight="1" x14ac:dyDescent="0.25">
      <c r="A48" s="11" t="s">
        <v>23</v>
      </c>
      <c r="B48" s="12">
        <v>114958</v>
      </c>
      <c r="C48" s="12">
        <v>151699</v>
      </c>
      <c r="D48" s="12">
        <v>266657</v>
      </c>
      <c r="E48" s="12">
        <v>154938</v>
      </c>
      <c r="F48" s="12">
        <v>208940</v>
      </c>
      <c r="G48" s="12">
        <v>363878</v>
      </c>
      <c r="H48" s="12">
        <v>294627</v>
      </c>
      <c r="I48" s="12">
        <v>397290</v>
      </c>
      <c r="J48" s="12">
        <v>691917</v>
      </c>
      <c r="K48" s="34"/>
      <c r="L48" s="34"/>
    </row>
    <row r="49" spans="1:12" ht="13.95" customHeight="1" x14ac:dyDescent="0.25">
      <c r="A49" s="11" t="s">
        <v>24</v>
      </c>
      <c r="B49" s="12">
        <v>41069</v>
      </c>
      <c r="C49" s="12">
        <v>60750</v>
      </c>
      <c r="D49" s="12">
        <v>101819</v>
      </c>
      <c r="E49" s="12">
        <v>55944</v>
      </c>
      <c r="F49" s="12">
        <v>87161</v>
      </c>
      <c r="G49" s="12">
        <v>143105</v>
      </c>
      <c r="H49" s="12">
        <v>120384</v>
      </c>
      <c r="I49" s="12">
        <v>188867</v>
      </c>
      <c r="J49" s="12">
        <v>309251</v>
      </c>
      <c r="K49" s="34"/>
      <c r="L49" s="34"/>
    </row>
    <row r="50" spans="1:12" ht="15" customHeight="1" x14ac:dyDescent="0.25">
      <c r="A50" s="11" t="s">
        <v>25</v>
      </c>
      <c r="B50" s="12">
        <v>14941</v>
      </c>
      <c r="C50" s="12">
        <v>26666</v>
      </c>
      <c r="D50" s="12">
        <v>41607</v>
      </c>
      <c r="E50" s="12">
        <v>19654</v>
      </c>
      <c r="F50" s="12">
        <v>36263</v>
      </c>
      <c r="G50" s="12">
        <v>55917</v>
      </c>
      <c r="H50" s="12">
        <v>32835</v>
      </c>
      <c r="I50" s="12">
        <v>60228</v>
      </c>
      <c r="J50" s="12">
        <v>93063</v>
      </c>
      <c r="K50" s="34"/>
      <c r="L50" s="34"/>
    </row>
    <row r="51" spans="1:12" ht="13.95" customHeight="1" x14ac:dyDescent="0.25">
      <c r="A51" s="11" t="s">
        <v>26</v>
      </c>
      <c r="B51" s="12">
        <v>32889</v>
      </c>
      <c r="C51" s="12">
        <v>41499</v>
      </c>
      <c r="D51" s="12">
        <v>74388</v>
      </c>
      <c r="E51" s="12">
        <v>5615</v>
      </c>
      <c r="F51" s="12">
        <v>11994</v>
      </c>
      <c r="G51" s="12">
        <v>17609</v>
      </c>
      <c r="H51" s="12">
        <v>6816</v>
      </c>
      <c r="I51" s="12">
        <v>14739</v>
      </c>
      <c r="J51" s="12">
        <v>21555</v>
      </c>
      <c r="K51" s="34"/>
      <c r="L51" s="34"/>
    </row>
    <row r="52" spans="1:12" ht="13.95" customHeight="1" x14ac:dyDescent="0.25">
      <c r="A52" s="11" t="s">
        <v>27</v>
      </c>
      <c r="B52" s="18" t="s">
        <v>35</v>
      </c>
      <c r="C52" s="18" t="s">
        <v>35</v>
      </c>
      <c r="D52" s="18" t="s">
        <v>35</v>
      </c>
      <c r="E52" s="12">
        <v>4086</v>
      </c>
      <c r="F52" s="12">
        <v>7904</v>
      </c>
      <c r="G52" s="12">
        <v>11990</v>
      </c>
      <c r="H52" s="12">
        <v>4657</v>
      </c>
      <c r="I52" s="12">
        <v>9208</v>
      </c>
      <c r="J52" s="12">
        <v>13865</v>
      </c>
      <c r="K52" s="34"/>
      <c r="L52" s="34"/>
    </row>
    <row r="53" spans="1:12" ht="14.55" customHeight="1" x14ac:dyDescent="0.25">
      <c r="A53" s="13" t="s">
        <v>28</v>
      </c>
      <c r="B53" s="14">
        <v>92804</v>
      </c>
      <c r="C53" s="14">
        <v>91174</v>
      </c>
      <c r="D53" s="14">
        <v>183978</v>
      </c>
      <c r="E53" s="14">
        <v>65175</v>
      </c>
      <c r="F53" s="14">
        <v>62866</v>
      </c>
      <c r="G53" s="14">
        <v>128041</v>
      </c>
      <c r="H53" s="19" t="s">
        <v>36</v>
      </c>
      <c r="I53" s="19" t="s">
        <v>36</v>
      </c>
      <c r="J53" s="19" t="s">
        <v>36</v>
      </c>
      <c r="K53" s="34"/>
      <c r="L53" s="34"/>
    </row>
    <row r="54" spans="1:12" ht="45.3" customHeight="1" x14ac:dyDescent="0.25">
      <c r="A54" s="35" t="s">
        <v>37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5" spans="1:12" ht="13.5" customHeight="1" x14ac:dyDescent="0.25">
      <c r="A55" s="32" t="s">
        <v>29</v>
      </c>
      <c r="B55" s="32"/>
      <c r="C55" s="33">
        <v>99</v>
      </c>
      <c r="D55" s="33"/>
      <c r="E55" s="33">
        <v>98.7</v>
      </c>
      <c r="F55" s="33"/>
      <c r="G55" s="33"/>
      <c r="H55" s="33">
        <v>97.5</v>
      </c>
      <c r="I55" s="33"/>
      <c r="J55" s="33"/>
      <c r="K55" s="34"/>
      <c r="L55" s="34"/>
    </row>
    <row r="56" spans="1:12" ht="13.95" customHeight="1" x14ac:dyDescent="0.25">
      <c r="A56" s="32" t="s">
        <v>30</v>
      </c>
      <c r="B56" s="32"/>
      <c r="C56" s="33">
        <v>7.5</v>
      </c>
      <c r="D56" s="33"/>
      <c r="E56" s="33">
        <v>10.5</v>
      </c>
      <c r="F56" s="33"/>
      <c r="G56" s="33"/>
      <c r="H56" s="33">
        <v>13.9</v>
      </c>
      <c r="I56" s="33"/>
      <c r="J56" s="33"/>
      <c r="K56" s="34"/>
      <c r="L56" s="34"/>
    </row>
    <row r="57" spans="1:12" ht="13.5" customHeight="1" x14ac:dyDescent="0.25">
      <c r="A57" s="32" t="s">
        <v>31</v>
      </c>
      <c r="B57" s="32"/>
      <c r="C57" s="33">
        <v>18</v>
      </c>
      <c r="D57" s="33"/>
      <c r="E57" s="33">
        <v>20</v>
      </c>
      <c r="F57" s="33"/>
      <c r="G57" s="33"/>
      <c r="H57" s="33">
        <v>22</v>
      </c>
      <c r="I57" s="33"/>
      <c r="J57" s="33"/>
      <c r="K57" s="34"/>
      <c r="L57" s="34"/>
    </row>
    <row r="58" spans="1:12" ht="16.95" customHeight="1" x14ac:dyDescent="0.25">
      <c r="A58" s="20" t="s">
        <v>0</v>
      </c>
      <c r="B58" s="1"/>
      <c r="C58" s="2" t="s">
        <v>38</v>
      </c>
      <c r="D58" s="3"/>
      <c r="E58" s="1"/>
      <c r="F58" s="2" t="s">
        <v>39</v>
      </c>
      <c r="G58" s="3"/>
      <c r="H58" s="1"/>
      <c r="I58" s="2" t="s">
        <v>40</v>
      </c>
      <c r="J58" s="22"/>
      <c r="K58" s="22"/>
    </row>
    <row r="59" spans="1:12" ht="16.05" customHeight="1" x14ac:dyDescent="0.25">
      <c r="A59" s="21"/>
      <c r="B59" s="5" t="s">
        <v>4</v>
      </c>
      <c r="C59" s="6" t="s">
        <v>5</v>
      </c>
      <c r="D59" s="7" t="s">
        <v>6</v>
      </c>
      <c r="E59" s="5" t="s">
        <v>4</v>
      </c>
      <c r="F59" s="6" t="s">
        <v>5</v>
      </c>
      <c r="G59" s="7" t="s">
        <v>6</v>
      </c>
      <c r="H59" s="5" t="s">
        <v>4</v>
      </c>
      <c r="I59" s="6" t="s">
        <v>5</v>
      </c>
      <c r="J59" s="23" t="s">
        <v>6</v>
      </c>
      <c r="K59" s="23"/>
    </row>
    <row r="60" spans="1:12" ht="16.05" customHeight="1" x14ac:dyDescent="0.25">
      <c r="A60" s="9" t="s">
        <v>6</v>
      </c>
      <c r="B60" s="10">
        <v>83576015</v>
      </c>
      <c r="C60" s="10">
        <v>86223155</v>
      </c>
      <c r="D60" s="10">
        <v>169799170</v>
      </c>
      <c r="E60" s="10">
        <v>93406990</v>
      </c>
      <c r="F60" s="10">
        <v>97348809</v>
      </c>
      <c r="G60" s="10">
        <v>190755799</v>
      </c>
      <c r="H60" s="10">
        <v>98532431</v>
      </c>
      <c r="I60" s="10">
        <v>104548325</v>
      </c>
      <c r="J60" s="36">
        <v>203080756</v>
      </c>
      <c r="K60" s="36"/>
    </row>
    <row r="61" spans="1:12" ht="13.95" customHeight="1" x14ac:dyDescent="0.25">
      <c r="A61" s="11" t="s">
        <v>7</v>
      </c>
      <c r="B61" s="12">
        <v>8326926</v>
      </c>
      <c r="C61" s="12">
        <v>8048802</v>
      </c>
      <c r="D61" s="12">
        <v>16375728</v>
      </c>
      <c r="E61" s="12">
        <v>7016987</v>
      </c>
      <c r="F61" s="12">
        <v>6779171</v>
      </c>
      <c r="G61" s="12">
        <v>13796158</v>
      </c>
      <c r="H61" s="12">
        <v>6461689</v>
      </c>
      <c r="I61" s="12">
        <v>6243171</v>
      </c>
      <c r="J61" s="25">
        <v>12704860</v>
      </c>
      <c r="K61" s="25"/>
    </row>
    <row r="62" spans="1:12" ht="15" customHeight="1" x14ac:dyDescent="0.25">
      <c r="A62" s="11" t="s">
        <v>8</v>
      </c>
      <c r="B62" s="12">
        <v>8402353</v>
      </c>
      <c r="C62" s="12">
        <v>8139974</v>
      </c>
      <c r="D62" s="12">
        <v>16542327</v>
      </c>
      <c r="E62" s="12">
        <v>7624144</v>
      </c>
      <c r="F62" s="12">
        <v>7345231</v>
      </c>
      <c r="G62" s="12">
        <v>14969375</v>
      </c>
      <c r="H62" s="12">
        <v>7011282</v>
      </c>
      <c r="I62" s="12">
        <v>6738158</v>
      </c>
      <c r="J62" s="25">
        <v>13749440</v>
      </c>
      <c r="K62" s="25"/>
    </row>
    <row r="63" spans="1:12" ht="13.95" customHeight="1" x14ac:dyDescent="0.25">
      <c r="A63" s="11" t="s">
        <v>9</v>
      </c>
      <c r="B63" s="12">
        <v>8777639</v>
      </c>
      <c r="C63" s="12">
        <v>8570428</v>
      </c>
      <c r="D63" s="12">
        <v>17348067</v>
      </c>
      <c r="E63" s="12">
        <v>8725413</v>
      </c>
      <c r="F63" s="12">
        <v>8441348</v>
      </c>
      <c r="G63" s="12">
        <v>17166761</v>
      </c>
      <c r="H63" s="12">
        <v>6992746</v>
      </c>
      <c r="I63" s="12">
        <v>6682215</v>
      </c>
      <c r="J63" s="25">
        <v>13674961</v>
      </c>
      <c r="K63" s="25"/>
    </row>
    <row r="64" spans="1:12" ht="15" customHeight="1" x14ac:dyDescent="0.25">
      <c r="A64" s="11" t="s">
        <v>10</v>
      </c>
      <c r="B64" s="12">
        <v>9019130</v>
      </c>
      <c r="C64" s="12">
        <v>8920685</v>
      </c>
      <c r="D64" s="12">
        <v>17939815</v>
      </c>
      <c r="E64" s="12">
        <v>8558868</v>
      </c>
      <c r="F64" s="12">
        <v>8432004</v>
      </c>
      <c r="G64" s="12">
        <v>16990872</v>
      </c>
      <c r="H64" s="12">
        <v>7317515</v>
      </c>
      <c r="I64" s="12">
        <v>7058427</v>
      </c>
      <c r="J64" s="25">
        <v>14375942</v>
      </c>
      <c r="K64" s="25"/>
    </row>
    <row r="65" spans="1:11" ht="13.95" customHeight="1" x14ac:dyDescent="0.25">
      <c r="A65" s="11" t="s">
        <v>11</v>
      </c>
      <c r="B65" s="12">
        <v>8048218</v>
      </c>
      <c r="C65" s="12">
        <v>8093297</v>
      </c>
      <c r="D65" s="12">
        <v>16141515</v>
      </c>
      <c r="E65" s="12">
        <v>8630229</v>
      </c>
      <c r="F65" s="12">
        <v>8614963</v>
      </c>
      <c r="G65" s="12">
        <v>17245192</v>
      </c>
      <c r="H65" s="12">
        <v>7767306</v>
      </c>
      <c r="I65" s="12">
        <v>7699157</v>
      </c>
      <c r="J65" s="25">
        <v>15466463</v>
      </c>
      <c r="K65" s="25"/>
    </row>
    <row r="66" spans="1:11" ht="13.95" customHeight="1" x14ac:dyDescent="0.25">
      <c r="A66" s="11" t="s">
        <v>12</v>
      </c>
      <c r="B66" s="12">
        <v>6814328</v>
      </c>
      <c r="C66" s="12">
        <v>7035337</v>
      </c>
      <c r="D66" s="12">
        <v>13849665</v>
      </c>
      <c r="E66" s="12">
        <v>8460995</v>
      </c>
      <c r="F66" s="12">
        <v>8643419</v>
      </c>
      <c r="G66" s="12">
        <v>17104414</v>
      </c>
      <c r="H66" s="12">
        <v>7627458</v>
      </c>
      <c r="I66" s="12">
        <v>7842265</v>
      </c>
      <c r="J66" s="25">
        <v>15469723</v>
      </c>
      <c r="K66" s="25"/>
    </row>
    <row r="67" spans="1:11" ht="15" customHeight="1" x14ac:dyDescent="0.25">
      <c r="A67" s="11" t="s">
        <v>13</v>
      </c>
      <c r="B67" s="12">
        <v>6363983</v>
      </c>
      <c r="C67" s="12">
        <v>6664961</v>
      </c>
      <c r="D67" s="12">
        <v>13028944</v>
      </c>
      <c r="E67" s="12">
        <v>7717658</v>
      </c>
      <c r="F67" s="12">
        <v>8026854</v>
      </c>
      <c r="G67" s="12">
        <v>15744512</v>
      </c>
      <c r="H67" s="12">
        <v>7537285</v>
      </c>
      <c r="I67" s="12">
        <v>7935832</v>
      </c>
      <c r="J67" s="25">
        <v>15473117</v>
      </c>
      <c r="K67" s="25"/>
    </row>
    <row r="68" spans="1:11" ht="13.95" customHeight="1" x14ac:dyDescent="0.25">
      <c r="A68" s="11" t="s">
        <v>14</v>
      </c>
      <c r="B68" s="12">
        <v>5955875</v>
      </c>
      <c r="C68" s="12">
        <v>6305654</v>
      </c>
      <c r="D68" s="12">
        <v>12261529</v>
      </c>
      <c r="E68" s="12">
        <v>6766664</v>
      </c>
      <c r="F68" s="12">
        <v>7121915</v>
      </c>
      <c r="G68" s="12">
        <v>13888579</v>
      </c>
      <c r="H68" s="12">
        <v>7827333</v>
      </c>
      <c r="I68" s="12">
        <v>8345458</v>
      </c>
      <c r="J68" s="25">
        <v>16172791</v>
      </c>
      <c r="K68" s="25"/>
    </row>
    <row r="69" spans="1:11" ht="15" customHeight="1" x14ac:dyDescent="0.25">
      <c r="A69" s="11" t="s">
        <v>15</v>
      </c>
      <c r="B69" s="12">
        <v>5116439</v>
      </c>
      <c r="C69" s="12">
        <v>5430255</v>
      </c>
      <c r="D69" s="12">
        <v>10546694</v>
      </c>
      <c r="E69" s="12">
        <v>6320568</v>
      </c>
      <c r="F69" s="12">
        <v>6688796</v>
      </c>
      <c r="G69" s="12">
        <v>13009364</v>
      </c>
      <c r="H69" s="12">
        <v>7781059</v>
      </c>
      <c r="I69" s="12">
        <v>8291111</v>
      </c>
      <c r="J69" s="25">
        <v>16072170</v>
      </c>
      <c r="K69" s="25"/>
    </row>
    <row r="70" spans="1:11" ht="13.95" customHeight="1" x14ac:dyDescent="0.25">
      <c r="A70" s="11" t="s">
        <v>16</v>
      </c>
      <c r="B70" s="12">
        <v>4216418</v>
      </c>
      <c r="C70" s="12">
        <v>4505123</v>
      </c>
      <c r="D70" s="12">
        <v>8721541</v>
      </c>
      <c r="E70" s="12">
        <v>5692014</v>
      </c>
      <c r="F70" s="12">
        <v>6141338</v>
      </c>
      <c r="G70" s="12">
        <v>11833352</v>
      </c>
      <c r="H70" s="12">
        <v>6549109</v>
      </c>
      <c r="I70" s="12">
        <v>7091003</v>
      </c>
      <c r="J70" s="25">
        <v>13640112</v>
      </c>
      <c r="K70" s="25"/>
    </row>
    <row r="71" spans="1:11" ht="13.95" customHeight="1" x14ac:dyDescent="0.25">
      <c r="A71" s="11" t="s">
        <v>17</v>
      </c>
      <c r="B71" s="12">
        <v>3415678</v>
      </c>
      <c r="C71" s="12">
        <v>3646923</v>
      </c>
      <c r="D71" s="12">
        <v>7062601</v>
      </c>
      <c r="E71" s="12">
        <v>4834995</v>
      </c>
      <c r="F71" s="12">
        <v>5305407</v>
      </c>
      <c r="G71" s="12">
        <v>10140402</v>
      </c>
      <c r="H71" s="12">
        <v>6014391</v>
      </c>
      <c r="I71" s="12">
        <v>6584190</v>
      </c>
      <c r="J71" s="25">
        <v>12598581</v>
      </c>
      <c r="K71" s="25"/>
    </row>
    <row r="72" spans="1:11" ht="15" customHeight="1" x14ac:dyDescent="0.25">
      <c r="A72" s="11" t="s">
        <v>18</v>
      </c>
      <c r="B72" s="12">
        <v>2585244</v>
      </c>
      <c r="C72" s="12">
        <v>2859471</v>
      </c>
      <c r="D72" s="12">
        <v>5444715</v>
      </c>
      <c r="E72" s="12">
        <v>3902344</v>
      </c>
      <c r="F72" s="12">
        <v>4373877</v>
      </c>
      <c r="G72" s="12">
        <v>8276221</v>
      </c>
      <c r="H72" s="12">
        <v>5419505</v>
      </c>
      <c r="I72" s="12">
        <v>6149601</v>
      </c>
      <c r="J72" s="25">
        <v>11569106</v>
      </c>
      <c r="K72" s="25"/>
    </row>
    <row r="73" spans="1:11" ht="13.95" customHeight="1" x14ac:dyDescent="0.25">
      <c r="A73" s="11" t="s">
        <v>19</v>
      </c>
      <c r="B73" s="12">
        <v>2153209</v>
      </c>
      <c r="C73" s="12">
        <v>2447720</v>
      </c>
      <c r="D73" s="12">
        <v>4600929</v>
      </c>
      <c r="E73" s="12">
        <v>3041035</v>
      </c>
      <c r="F73" s="12">
        <v>3468085</v>
      </c>
      <c r="G73" s="12">
        <v>6509120</v>
      </c>
      <c r="H73" s="12">
        <v>4605834</v>
      </c>
      <c r="I73" s="12">
        <v>5338555</v>
      </c>
      <c r="J73" s="26">
        <v>9944389</v>
      </c>
      <c r="K73" s="26"/>
    </row>
    <row r="74" spans="1:11" ht="15" customHeight="1" x14ac:dyDescent="0.25">
      <c r="A74" s="11" t="s">
        <v>20</v>
      </c>
      <c r="B74" s="12">
        <v>1639325</v>
      </c>
      <c r="C74" s="12">
        <v>1941781</v>
      </c>
      <c r="D74" s="12">
        <v>3581106</v>
      </c>
      <c r="E74" s="12">
        <v>2224065</v>
      </c>
      <c r="F74" s="12">
        <v>2616745</v>
      </c>
      <c r="G74" s="12">
        <v>4840810</v>
      </c>
      <c r="H74" s="12">
        <v>3588052</v>
      </c>
      <c r="I74" s="12">
        <v>4288180</v>
      </c>
      <c r="J74" s="26">
        <v>7876232</v>
      </c>
      <c r="K74" s="26"/>
    </row>
    <row r="75" spans="1:11" ht="13.95" customHeight="1" x14ac:dyDescent="0.25">
      <c r="A75" s="11" t="s">
        <v>21</v>
      </c>
      <c r="B75" s="12">
        <v>1229329</v>
      </c>
      <c r="C75" s="12">
        <v>1512973</v>
      </c>
      <c r="D75" s="12">
        <v>2742302</v>
      </c>
      <c r="E75" s="12">
        <v>1667372</v>
      </c>
      <c r="F75" s="12">
        <v>2074264</v>
      </c>
      <c r="G75" s="12">
        <v>3741636</v>
      </c>
      <c r="H75" s="12">
        <v>2615350</v>
      </c>
      <c r="I75" s="12">
        <v>3243186</v>
      </c>
      <c r="J75" s="26">
        <v>5858536</v>
      </c>
      <c r="K75" s="26"/>
    </row>
    <row r="76" spans="1:11" ht="13.95" customHeight="1" x14ac:dyDescent="0.25">
      <c r="A76" s="11" t="s">
        <v>22</v>
      </c>
      <c r="B76" s="12">
        <v>780571</v>
      </c>
      <c r="C76" s="12">
        <v>999016</v>
      </c>
      <c r="D76" s="12">
        <v>1779587</v>
      </c>
      <c r="E76" s="12">
        <v>1090517</v>
      </c>
      <c r="F76" s="12">
        <v>1472930</v>
      </c>
      <c r="G76" s="12">
        <v>2563447</v>
      </c>
      <c r="H76" s="12">
        <v>1657786</v>
      </c>
      <c r="I76" s="12">
        <v>2189593</v>
      </c>
      <c r="J76" s="26">
        <v>3847379</v>
      </c>
      <c r="K76" s="26"/>
    </row>
    <row r="77" spans="1:11" ht="15" customHeight="1" x14ac:dyDescent="0.25">
      <c r="A77" s="11" t="s">
        <v>23</v>
      </c>
      <c r="B77" s="12">
        <v>428501</v>
      </c>
      <c r="C77" s="12">
        <v>607533</v>
      </c>
      <c r="D77" s="12">
        <v>1036034</v>
      </c>
      <c r="E77" s="12">
        <v>668623</v>
      </c>
      <c r="F77" s="12">
        <v>998349</v>
      </c>
      <c r="G77" s="12">
        <v>1666972</v>
      </c>
      <c r="H77" s="12">
        <v>1009852</v>
      </c>
      <c r="I77" s="12">
        <v>1465178</v>
      </c>
      <c r="J77" s="26">
        <v>2475030</v>
      </c>
      <c r="K77" s="26"/>
    </row>
    <row r="78" spans="1:11" ht="13.95" customHeight="1" x14ac:dyDescent="0.25">
      <c r="A78" s="11" t="s">
        <v>24</v>
      </c>
      <c r="B78" s="12">
        <v>208088</v>
      </c>
      <c r="C78" s="12">
        <v>326783</v>
      </c>
      <c r="D78" s="12">
        <v>534871</v>
      </c>
      <c r="E78" s="12">
        <v>310759</v>
      </c>
      <c r="F78" s="12">
        <v>508724</v>
      </c>
      <c r="G78" s="12">
        <v>819483</v>
      </c>
      <c r="H78" s="12">
        <v>493649</v>
      </c>
      <c r="I78" s="12">
        <v>835554</v>
      </c>
      <c r="J78" s="26">
        <v>1329203</v>
      </c>
      <c r="K78" s="26"/>
    </row>
    <row r="79" spans="1:11" ht="15" customHeight="1" x14ac:dyDescent="0.25">
      <c r="A79" s="11" t="s">
        <v>25</v>
      </c>
      <c r="B79" s="12">
        <v>65117</v>
      </c>
      <c r="C79" s="12">
        <v>115309</v>
      </c>
      <c r="D79" s="12">
        <v>180426</v>
      </c>
      <c r="E79" s="12">
        <v>114964</v>
      </c>
      <c r="F79" s="12">
        <v>211594</v>
      </c>
      <c r="G79" s="12">
        <v>326558</v>
      </c>
      <c r="H79" s="12">
        <v>194341</v>
      </c>
      <c r="I79" s="12">
        <v>385388</v>
      </c>
      <c r="J79" s="26">
        <v>579729</v>
      </c>
      <c r="K79" s="26"/>
    </row>
    <row r="80" spans="1:11" ht="13.95" customHeight="1" x14ac:dyDescent="0.25">
      <c r="A80" s="11" t="s">
        <v>26</v>
      </c>
      <c r="B80" s="12">
        <v>19221</v>
      </c>
      <c r="C80" s="12">
        <v>36977</v>
      </c>
      <c r="D80" s="12">
        <v>56198</v>
      </c>
      <c r="E80" s="12">
        <v>31529</v>
      </c>
      <c r="F80" s="12">
        <v>66806</v>
      </c>
      <c r="G80" s="12">
        <v>98335</v>
      </c>
      <c r="H80" s="12">
        <v>50319</v>
      </c>
      <c r="I80" s="12">
        <v>114859</v>
      </c>
      <c r="J80" s="26">
        <v>165178</v>
      </c>
      <c r="K80" s="26"/>
    </row>
    <row r="81" spans="1:11" ht="13.95" customHeight="1" x14ac:dyDescent="0.25">
      <c r="A81" s="11" t="s">
        <v>27</v>
      </c>
      <c r="B81" s="12">
        <v>10423</v>
      </c>
      <c r="C81" s="12">
        <v>14153</v>
      </c>
      <c r="D81" s="12">
        <v>24576</v>
      </c>
      <c r="E81" s="12">
        <v>7247</v>
      </c>
      <c r="F81" s="12">
        <v>16989</v>
      </c>
      <c r="G81" s="12">
        <v>24236</v>
      </c>
      <c r="H81" s="12">
        <v>10570</v>
      </c>
      <c r="I81" s="12">
        <v>27244</v>
      </c>
      <c r="J81" s="27">
        <v>37814</v>
      </c>
      <c r="K81" s="27"/>
    </row>
    <row r="82" spans="1:11" ht="13.95" customHeight="1" x14ac:dyDescent="0.25">
      <c r="A82" s="13" t="s">
        <v>28</v>
      </c>
      <c r="B82" s="19" t="s">
        <v>36</v>
      </c>
      <c r="C82" s="19" t="s">
        <v>36</v>
      </c>
      <c r="D82" s="19" t="s">
        <v>36</v>
      </c>
      <c r="E82" s="19" t="s">
        <v>36</v>
      </c>
      <c r="F82" s="19" t="s">
        <v>36</v>
      </c>
      <c r="G82" s="19" t="s">
        <v>36</v>
      </c>
      <c r="H82" s="19" t="s">
        <v>36</v>
      </c>
      <c r="I82" s="19" t="s">
        <v>36</v>
      </c>
      <c r="J82" s="37" t="s">
        <v>36</v>
      </c>
      <c r="K82" s="37"/>
    </row>
    <row r="83" spans="1:11" ht="39" customHeight="1" x14ac:dyDescent="0.25">
      <c r="A83" s="30" t="s">
        <v>29</v>
      </c>
      <c r="B83" s="30"/>
      <c r="C83" s="31">
        <v>96.9</v>
      </c>
      <c r="D83" s="31"/>
      <c r="E83" s="31">
        <v>96</v>
      </c>
      <c r="F83" s="31"/>
      <c r="G83" s="31"/>
      <c r="H83" s="31">
        <v>94.2</v>
      </c>
      <c r="I83" s="31"/>
      <c r="J83" s="31"/>
      <c r="K83" s="16"/>
    </row>
    <row r="84" spans="1:11" ht="15" customHeight="1" x14ac:dyDescent="0.25">
      <c r="A84" s="32" t="s">
        <v>30</v>
      </c>
      <c r="B84" s="32"/>
      <c r="C84" s="33">
        <v>19.8</v>
      </c>
      <c r="D84" s="33"/>
      <c r="E84" s="33">
        <v>30.7</v>
      </c>
      <c r="F84" s="33"/>
      <c r="G84" s="33"/>
      <c r="H84" s="33">
        <v>55.2</v>
      </c>
      <c r="I84" s="33"/>
      <c r="J84" s="33"/>
      <c r="K84" s="17"/>
    </row>
    <row r="85" spans="1:11" ht="13.5" customHeight="1" x14ac:dyDescent="0.25">
      <c r="A85" s="32" t="s">
        <v>31</v>
      </c>
      <c r="B85" s="32"/>
      <c r="C85" s="33">
        <v>25</v>
      </c>
      <c r="D85" s="33"/>
      <c r="E85" s="33">
        <v>29</v>
      </c>
      <c r="F85" s="33"/>
      <c r="G85" s="33"/>
      <c r="H85" s="33">
        <v>35</v>
      </c>
      <c r="I85" s="33"/>
      <c r="J85" s="33"/>
      <c r="K85" s="17"/>
    </row>
  </sheetData>
  <mergeCells count="118">
    <mergeCell ref="A84:B84"/>
    <mergeCell ref="C84:D84"/>
    <mergeCell ref="E84:G84"/>
    <mergeCell ref="H84:J84"/>
    <mergeCell ref="A85:B85"/>
    <mergeCell ref="C85:D85"/>
    <mergeCell ref="E85:G85"/>
    <mergeCell ref="H85:J85"/>
    <mergeCell ref="J75:K75"/>
    <mergeCell ref="J76:K76"/>
    <mergeCell ref="J77:K77"/>
    <mergeCell ref="J78:K78"/>
    <mergeCell ref="J79:K79"/>
    <mergeCell ref="J80:K80"/>
    <mergeCell ref="J81:K81"/>
    <mergeCell ref="J82:K82"/>
    <mergeCell ref="A83:B83"/>
    <mergeCell ref="C83:D83"/>
    <mergeCell ref="E83:G83"/>
    <mergeCell ref="H83:J83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A58:A59"/>
    <mergeCell ref="J58:K58"/>
    <mergeCell ref="J59:K59"/>
    <mergeCell ref="J60:K60"/>
    <mergeCell ref="J61:K61"/>
    <mergeCell ref="J62:K62"/>
    <mergeCell ref="J63:K63"/>
    <mergeCell ref="J64:K64"/>
    <mergeCell ref="J65:K65"/>
    <mergeCell ref="A56:B56"/>
    <mergeCell ref="C56:D56"/>
    <mergeCell ref="E56:G56"/>
    <mergeCell ref="H56:J56"/>
    <mergeCell ref="K56:L56"/>
    <mergeCell ref="A57:B57"/>
    <mergeCell ref="C57:D57"/>
    <mergeCell ref="E57:G57"/>
    <mergeCell ref="H57:J57"/>
    <mergeCell ref="K57:L57"/>
    <mergeCell ref="K47:L47"/>
    <mergeCell ref="K48:L48"/>
    <mergeCell ref="K49:L49"/>
    <mergeCell ref="K50:L50"/>
    <mergeCell ref="K51:L51"/>
    <mergeCell ref="K52:L52"/>
    <mergeCell ref="K53:L53"/>
    <mergeCell ref="A54:L54"/>
    <mergeCell ref="A55:B55"/>
    <mergeCell ref="C55:D55"/>
    <mergeCell ref="E55:G55"/>
    <mergeCell ref="H55:J55"/>
    <mergeCell ref="K55:L55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A27:B27"/>
    <mergeCell ref="C27:D27"/>
    <mergeCell ref="E27:G27"/>
    <mergeCell ref="H27:J27"/>
    <mergeCell ref="A28:B28"/>
    <mergeCell ref="C28:D28"/>
    <mergeCell ref="E28:G28"/>
    <mergeCell ref="H28:J28"/>
    <mergeCell ref="A29:A30"/>
    <mergeCell ref="J18:K18"/>
    <mergeCell ref="J19:K19"/>
    <mergeCell ref="J20:K20"/>
    <mergeCell ref="J21:K21"/>
    <mergeCell ref="J22:K22"/>
    <mergeCell ref="J23:K23"/>
    <mergeCell ref="J24:K24"/>
    <mergeCell ref="J25:K25"/>
    <mergeCell ref="A26:B26"/>
    <mergeCell ref="C26:D26"/>
    <mergeCell ref="E26:G26"/>
    <mergeCell ref="H26:J26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A1:A2"/>
    <mergeCell ref="J1:K1"/>
    <mergeCell ref="J2:K2"/>
    <mergeCell ref="J3:K3"/>
    <mergeCell ref="J4:K4"/>
    <mergeCell ref="J5:K5"/>
    <mergeCell ref="J6:K6"/>
    <mergeCell ref="J7:K7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3621-F300-4F73-A7E2-D07560B6F02E}">
  <dimension ref="A1:O28"/>
  <sheetViews>
    <sheetView tabSelected="1" workbookViewId="0">
      <selection activeCell="L21" sqref="L21"/>
    </sheetView>
  </sheetViews>
  <sheetFormatPr defaultRowHeight="13.2" x14ac:dyDescent="0.25"/>
  <cols>
    <col min="1" max="1" width="11.109375" bestFit="1" customWidth="1"/>
    <col min="2" max="2" width="8.44140625" bestFit="1" customWidth="1"/>
    <col min="4" max="4" width="9.33203125" bestFit="1" customWidth="1"/>
    <col min="5" max="5" width="8.44140625" bestFit="1" customWidth="1"/>
    <col min="6" max="6" width="9.33203125" bestFit="1" customWidth="1"/>
    <col min="7" max="7" width="10.88671875" customWidth="1"/>
    <col min="8" max="8" width="2.109375" customWidth="1"/>
    <col min="11" max="11" width="12.6640625" bestFit="1" customWidth="1"/>
    <col min="12" max="13" width="10.88671875" bestFit="1" customWidth="1"/>
  </cols>
  <sheetData>
    <row r="1" spans="1:15" ht="24" x14ac:dyDescent="0.25">
      <c r="A1" s="20" t="s">
        <v>0</v>
      </c>
      <c r="B1" s="1"/>
      <c r="C1" s="2" t="s">
        <v>39</v>
      </c>
      <c r="D1" s="3"/>
      <c r="E1" s="1"/>
      <c r="F1" s="2" t="s">
        <v>40</v>
      </c>
      <c r="G1" s="22"/>
      <c r="H1" s="22"/>
    </row>
    <row r="2" spans="1:15" ht="24" x14ac:dyDescent="0.25">
      <c r="A2" s="21"/>
      <c r="B2" s="5" t="s">
        <v>4</v>
      </c>
      <c r="C2" s="6" t="s">
        <v>5</v>
      </c>
      <c r="D2" s="7" t="s">
        <v>6</v>
      </c>
      <c r="E2" s="5" t="s">
        <v>4</v>
      </c>
      <c r="F2" s="6" t="s">
        <v>5</v>
      </c>
      <c r="G2" s="23" t="s">
        <v>6</v>
      </c>
      <c r="H2" s="23"/>
      <c r="L2">
        <v>2010</v>
      </c>
      <c r="M2">
        <v>2022</v>
      </c>
    </row>
    <row r="3" spans="1:15" x14ac:dyDescent="0.25">
      <c r="A3" s="9" t="s">
        <v>6</v>
      </c>
      <c r="B3" s="10">
        <v>93406990</v>
      </c>
      <c r="C3" s="10">
        <v>97348809</v>
      </c>
      <c r="D3" s="10">
        <v>190755799</v>
      </c>
      <c r="E3" s="10">
        <v>98532431</v>
      </c>
      <c r="F3" s="10">
        <v>104548325</v>
      </c>
      <c r="G3" s="12">
        <v>203080756</v>
      </c>
      <c r="H3" s="10"/>
      <c r="K3" t="s">
        <v>41</v>
      </c>
      <c r="L3" s="38">
        <f>SUM(D16:D24)</f>
        <v>20590597</v>
      </c>
      <c r="M3" s="38">
        <f>SUM(G16:G24)</f>
        <v>32113490</v>
      </c>
    </row>
    <row r="4" spans="1:15" x14ac:dyDescent="0.25">
      <c r="A4" s="11" t="s">
        <v>7</v>
      </c>
      <c r="B4" s="12">
        <v>7016987</v>
      </c>
      <c r="C4" s="12">
        <v>6779171</v>
      </c>
      <c r="D4" s="12">
        <v>13796158</v>
      </c>
      <c r="E4" s="12">
        <v>6461689</v>
      </c>
      <c r="F4" s="12">
        <v>6243171</v>
      </c>
      <c r="G4" s="12">
        <v>12704860</v>
      </c>
      <c r="H4" s="12"/>
      <c r="K4" t="s">
        <v>42</v>
      </c>
      <c r="L4" s="38">
        <f>D3</f>
        <v>190755799</v>
      </c>
      <c r="M4" s="38">
        <f>G3</f>
        <v>203080756</v>
      </c>
    </row>
    <row r="5" spans="1:15" x14ac:dyDescent="0.25">
      <c r="A5" s="11" t="s">
        <v>8</v>
      </c>
      <c r="B5" s="12">
        <v>7624144</v>
      </c>
      <c r="C5" s="12">
        <v>7345231</v>
      </c>
      <c r="D5" s="12">
        <v>14969375</v>
      </c>
      <c r="E5" s="12">
        <v>7011282</v>
      </c>
      <c r="F5" s="12">
        <v>6738158</v>
      </c>
      <c r="G5" s="12">
        <v>13749440</v>
      </c>
      <c r="H5" s="12"/>
    </row>
    <row r="6" spans="1:15" x14ac:dyDescent="0.25">
      <c r="A6" s="11" t="s">
        <v>9</v>
      </c>
      <c r="B6" s="12">
        <v>8725413</v>
      </c>
      <c r="C6" s="12">
        <v>8441348</v>
      </c>
      <c r="D6" s="12">
        <v>17166761</v>
      </c>
      <c r="E6" s="12">
        <v>6992746</v>
      </c>
      <c r="F6" s="12">
        <v>6682215</v>
      </c>
      <c r="G6" s="12">
        <v>13674961</v>
      </c>
      <c r="H6" s="12"/>
      <c r="K6" t="s">
        <v>43</v>
      </c>
      <c r="L6" s="39">
        <f>L3/L4</f>
        <v>0.10794218109196251</v>
      </c>
      <c r="M6" s="39">
        <f>M3/M4</f>
        <v>0.15813162523385524</v>
      </c>
    </row>
    <row r="7" spans="1:15" x14ac:dyDescent="0.25">
      <c r="A7" s="11" t="s">
        <v>10</v>
      </c>
      <c r="B7" s="12">
        <v>8558868</v>
      </c>
      <c r="C7" s="12">
        <v>8432004</v>
      </c>
      <c r="D7" s="12">
        <v>16990872</v>
      </c>
      <c r="E7" s="12">
        <v>7317515</v>
      </c>
      <c r="F7" s="12">
        <v>7058427</v>
      </c>
      <c r="G7" s="12">
        <v>14375942</v>
      </c>
      <c r="H7" s="12"/>
      <c r="K7" t="s">
        <v>44</v>
      </c>
      <c r="L7" s="41">
        <f>(M3-L3)/L3</f>
        <v>0.55961917957016982</v>
      </c>
    </row>
    <row r="8" spans="1:15" x14ac:dyDescent="0.25">
      <c r="A8" s="11" t="s">
        <v>11</v>
      </c>
      <c r="B8" s="12">
        <v>8630229</v>
      </c>
      <c r="C8" s="12">
        <v>8614963</v>
      </c>
      <c r="D8" s="12">
        <v>17245192</v>
      </c>
      <c r="E8" s="12">
        <v>7767306</v>
      </c>
      <c r="F8" s="12">
        <v>7699157</v>
      </c>
      <c r="G8" s="12">
        <v>15466463</v>
      </c>
      <c r="H8" s="12"/>
    </row>
    <row r="9" spans="1:15" x14ac:dyDescent="0.25">
      <c r="A9" s="11" t="s">
        <v>12</v>
      </c>
      <c r="B9" s="12">
        <v>8460995</v>
      </c>
      <c r="C9" s="12">
        <v>8643419</v>
      </c>
      <c r="D9" s="12">
        <v>17104414</v>
      </c>
      <c r="E9" s="12">
        <v>7627458</v>
      </c>
      <c r="F9" s="12">
        <v>7842265</v>
      </c>
      <c r="G9" s="12">
        <v>15469723</v>
      </c>
      <c r="H9" s="12"/>
      <c r="K9" t="s">
        <v>45</v>
      </c>
      <c r="L9" s="38">
        <f>SUM(D17:D24)</f>
        <v>14081477</v>
      </c>
      <c r="M9" s="38">
        <f>SUM(G17:G24)</f>
        <v>22169101</v>
      </c>
      <c r="O9" s="38"/>
    </row>
    <row r="10" spans="1:15" x14ac:dyDescent="0.25">
      <c r="A10" s="11" t="s">
        <v>13</v>
      </c>
      <c r="B10" s="12">
        <v>7717658</v>
      </c>
      <c r="C10" s="12">
        <v>8026854</v>
      </c>
      <c r="D10" s="12">
        <v>15744512</v>
      </c>
      <c r="E10" s="12">
        <v>7537285</v>
      </c>
      <c r="F10" s="12">
        <v>7935832</v>
      </c>
      <c r="G10" s="12">
        <v>15473117</v>
      </c>
      <c r="H10" s="12"/>
      <c r="K10" t="s">
        <v>46</v>
      </c>
      <c r="L10" s="39">
        <f>L9/L4</f>
        <v>7.3819391461855371E-2</v>
      </c>
      <c r="M10" s="39">
        <f>M9/M4</f>
        <v>0.10916396726433301</v>
      </c>
    </row>
    <row r="11" spans="1:15" x14ac:dyDescent="0.25">
      <c r="A11" s="11" t="s">
        <v>14</v>
      </c>
      <c r="B11" s="12">
        <v>6766664</v>
      </c>
      <c r="C11" s="12">
        <v>7121915</v>
      </c>
      <c r="D11" s="12">
        <v>13888579</v>
      </c>
      <c r="E11" s="12">
        <v>7827333</v>
      </c>
      <c r="F11" s="12">
        <v>8345458</v>
      </c>
      <c r="G11" s="12">
        <v>16172791</v>
      </c>
      <c r="H11" s="12"/>
      <c r="K11" t="s">
        <v>44</v>
      </c>
      <c r="L11" s="40">
        <f>(M9-L9)/L9</f>
        <v>0.57434486453374178</v>
      </c>
    </row>
    <row r="12" spans="1:15" x14ac:dyDescent="0.25">
      <c r="A12" s="11" t="s">
        <v>15</v>
      </c>
      <c r="B12" s="12">
        <v>6320568</v>
      </c>
      <c r="C12" s="12">
        <v>6688796</v>
      </c>
      <c r="D12" s="12">
        <v>13009364</v>
      </c>
      <c r="E12" s="12">
        <v>7781059</v>
      </c>
      <c r="F12" s="12">
        <v>8291111</v>
      </c>
      <c r="G12" s="12">
        <v>16072170</v>
      </c>
      <c r="H12" s="12"/>
    </row>
    <row r="13" spans="1:15" x14ac:dyDescent="0.25">
      <c r="A13" s="11" t="s">
        <v>16</v>
      </c>
      <c r="B13" s="12">
        <v>5692014</v>
      </c>
      <c r="C13" s="12">
        <v>6141338</v>
      </c>
      <c r="D13" s="12">
        <v>11833352</v>
      </c>
      <c r="E13" s="12">
        <v>6549109</v>
      </c>
      <c r="F13" s="12">
        <v>7091003</v>
      </c>
      <c r="G13" s="12">
        <v>13640112</v>
      </c>
      <c r="H13" s="12"/>
    </row>
    <row r="14" spans="1:15" x14ac:dyDescent="0.25">
      <c r="A14" s="11" t="s">
        <v>17</v>
      </c>
      <c r="B14" s="12">
        <v>4834995</v>
      </c>
      <c r="C14" s="12">
        <v>5305407</v>
      </c>
      <c r="D14" s="12">
        <v>10140402</v>
      </c>
      <c r="E14" s="12">
        <v>6014391</v>
      </c>
      <c r="F14" s="12">
        <v>6584190</v>
      </c>
      <c r="G14" s="12">
        <v>12598581</v>
      </c>
      <c r="H14" s="12"/>
      <c r="K14" t="s">
        <v>47</v>
      </c>
      <c r="L14" s="38">
        <f>SUM(D4:D6)</f>
        <v>45932294</v>
      </c>
      <c r="M14" s="38">
        <f>SUM(G4:G6)</f>
        <v>40129261</v>
      </c>
    </row>
    <row r="15" spans="1:15" x14ac:dyDescent="0.25">
      <c r="A15" s="11" t="s">
        <v>18</v>
      </c>
      <c r="B15" s="12">
        <v>3902344</v>
      </c>
      <c r="C15" s="12">
        <v>4373877</v>
      </c>
      <c r="D15" s="12">
        <v>8276221</v>
      </c>
      <c r="E15" s="12">
        <v>5419505</v>
      </c>
      <c r="F15" s="12">
        <v>6149601</v>
      </c>
      <c r="G15" s="12">
        <v>11569106</v>
      </c>
      <c r="H15" s="12"/>
      <c r="K15" t="s">
        <v>48</v>
      </c>
      <c r="L15" s="39">
        <f>L14/L4</f>
        <v>0.24079107550486578</v>
      </c>
      <c r="M15" s="39">
        <f>M14/M4</f>
        <v>0.19760247987258822</v>
      </c>
    </row>
    <row r="16" spans="1:15" x14ac:dyDescent="0.25">
      <c r="A16" s="11" t="s">
        <v>19</v>
      </c>
      <c r="B16" s="12">
        <v>3041035</v>
      </c>
      <c r="C16" s="12">
        <v>3468085</v>
      </c>
      <c r="D16" s="12">
        <v>6509120</v>
      </c>
      <c r="E16" s="12">
        <v>4605834</v>
      </c>
      <c r="F16" s="12">
        <v>5338555</v>
      </c>
      <c r="G16" s="12">
        <v>9944389</v>
      </c>
      <c r="H16" s="12"/>
      <c r="K16" t="s">
        <v>44</v>
      </c>
      <c r="L16" s="39">
        <f>(M14-L14)/L14</f>
        <v>-0.12633884560610015</v>
      </c>
    </row>
    <row r="17" spans="1:13" x14ac:dyDescent="0.25">
      <c r="A17" s="11" t="s">
        <v>20</v>
      </c>
      <c r="B17" s="12">
        <v>2224065</v>
      </c>
      <c r="C17" s="12">
        <v>2616745</v>
      </c>
      <c r="D17" s="12">
        <v>4840810</v>
      </c>
      <c r="E17" s="12">
        <v>3588052</v>
      </c>
      <c r="F17" s="12">
        <v>4288180</v>
      </c>
      <c r="G17" s="12">
        <v>7876232</v>
      </c>
      <c r="H17" s="12"/>
    </row>
    <row r="18" spans="1:13" x14ac:dyDescent="0.25">
      <c r="A18" s="11" t="s">
        <v>21</v>
      </c>
      <c r="B18" s="12">
        <v>1667372</v>
      </c>
      <c r="C18" s="12">
        <v>2074264</v>
      </c>
      <c r="D18" s="12">
        <v>3741636</v>
      </c>
      <c r="E18" s="12">
        <v>2615350</v>
      </c>
      <c r="F18" s="12">
        <v>3243186</v>
      </c>
      <c r="G18" s="12">
        <v>5858536</v>
      </c>
      <c r="H18" s="12"/>
      <c r="K18" t="s">
        <v>49</v>
      </c>
      <c r="L18" s="39">
        <f>L3/L14</f>
        <v>0.4482814857886262</v>
      </c>
      <c r="M18" s="39">
        <f>M3/M14</f>
        <v>0.80025121818216394</v>
      </c>
    </row>
    <row r="19" spans="1:13" x14ac:dyDescent="0.25">
      <c r="A19" s="11" t="s">
        <v>22</v>
      </c>
      <c r="B19" s="12">
        <v>1090517</v>
      </c>
      <c r="C19" s="12">
        <v>1472930</v>
      </c>
      <c r="D19" s="12">
        <v>2563447</v>
      </c>
      <c r="E19" s="12">
        <v>1657786</v>
      </c>
      <c r="F19" s="12">
        <v>2189593</v>
      </c>
      <c r="G19" s="12">
        <v>3847379</v>
      </c>
      <c r="H19" s="12"/>
    </row>
    <row r="20" spans="1:13" x14ac:dyDescent="0.25">
      <c r="A20" s="11" t="s">
        <v>23</v>
      </c>
      <c r="B20" s="12">
        <v>668623</v>
      </c>
      <c r="C20" s="12">
        <v>998349</v>
      </c>
      <c r="D20" s="12">
        <v>1666972</v>
      </c>
      <c r="E20" s="12">
        <v>1009852</v>
      </c>
      <c r="F20" s="12">
        <v>1465178</v>
      </c>
      <c r="G20" s="12">
        <v>2475030</v>
      </c>
      <c r="H20" s="12"/>
    </row>
    <row r="21" spans="1:13" x14ac:dyDescent="0.25">
      <c r="A21" s="11" t="s">
        <v>24</v>
      </c>
      <c r="B21" s="12">
        <v>310759</v>
      </c>
      <c r="C21" s="12">
        <v>508724</v>
      </c>
      <c r="D21" s="12">
        <v>819483</v>
      </c>
      <c r="E21" s="12">
        <v>493649</v>
      </c>
      <c r="F21" s="12">
        <v>835554</v>
      </c>
      <c r="G21" s="12">
        <v>1329203</v>
      </c>
      <c r="H21" s="12"/>
    </row>
    <row r="22" spans="1:13" x14ac:dyDescent="0.25">
      <c r="A22" s="11" t="s">
        <v>25</v>
      </c>
      <c r="B22" s="12">
        <v>114964</v>
      </c>
      <c r="C22" s="12">
        <v>211594</v>
      </c>
      <c r="D22" s="12">
        <v>326558</v>
      </c>
      <c r="E22" s="12">
        <v>194341</v>
      </c>
      <c r="F22" s="12">
        <v>385388</v>
      </c>
      <c r="G22" s="12">
        <v>579729</v>
      </c>
      <c r="H22" s="12"/>
    </row>
    <row r="23" spans="1:13" x14ac:dyDescent="0.25">
      <c r="A23" s="11" t="s">
        <v>26</v>
      </c>
      <c r="B23" s="12">
        <v>31529</v>
      </c>
      <c r="C23" s="12">
        <v>66806</v>
      </c>
      <c r="D23" s="12">
        <v>98335</v>
      </c>
      <c r="E23" s="12">
        <v>50319</v>
      </c>
      <c r="F23" s="12">
        <v>114859</v>
      </c>
      <c r="G23" s="12">
        <v>165178</v>
      </c>
      <c r="H23" s="12"/>
    </row>
    <row r="24" spans="1:13" x14ac:dyDescent="0.25">
      <c r="A24" s="11" t="s">
        <v>27</v>
      </c>
      <c r="B24" s="12">
        <v>7247</v>
      </c>
      <c r="C24" s="12">
        <v>16989</v>
      </c>
      <c r="D24" s="12">
        <v>24236</v>
      </c>
      <c r="E24" s="12">
        <v>10570</v>
      </c>
      <c r="F24" s="12">
        <v>27244</v>
      </c>
      <c r="G24" s="12">
        <v>37814</v>
      </c>
      <c r="H24" s="12"/>
    </row>
    <row r="25" spans="1:13" x14ac:dyDescent="0.25">
      <c r="A25" s="13" t="s">
        <v>28</v>
      </c>
      <c r="B25" s="19" t="s">
        <v>36</v>
      </c>
      <c r="C25" s="19" t="s">
        <v>36</v>
      </c>
      <c r="D25" s="19" t="s">
        <v>36</v>
      </c>
      <c r="E25" s="19" t="s">
        <v>36</v>
      </c>
      <c r="F25" s="19" t="s">
        <v>36</v>
      </c>
      <c r="G25" s="19" t="s">
        <v>36</v>
      </c>
      <c r="H25" s="19"/>
    </row>
    <row r="26" spans="1:13" x14ac:dyDescent="0.25">
      <c r="A26" s="15" t="s">
        <v>29</v>
      </c>
      <c r="B26" s="31">
        <v>96</v>
      </c>
      <c r="C26" s="31"/>
      <c r="D26" s="31"/>
      <c r="E26" s="31">
        <v>94.2</v>
      </c>
      <c r="F26" s="31"/>
      <c r="G26" s="31"/>
      <c r="H26" s="16"/>
    </row>
    <row r="27" spans="1:13" ht="36" x14ac:dyDescent="0.25">
      <c r="A27" s="11" t="s">
        <v>30</v>
      </c>
      <c r="B27" s="33">
        <v>30.7</v>
      </c>
      <c r="C27" s="33"/>
      <c r="D27" s="33"/>
      <c r="E27" s="33">
        <v>55.2</v>
      </c>
      <c r="F27" s="33"/>
      <c r="G27" s="33"/>
      <c r="H27" s="17"/>
    </row>
    <row r="28" spans="1:13" ht="24" x14ac:dyDescent="0.25">
      <c r="A28" s="11" t="s">
        <v>31</v>
      </c>
      <c r="B28" s="33">
        <v>29</v>
      </c>
      <c r="C28" s="33"/>
      <c r="D28" s="33"/>
      <c r="E28" s="33">
        <v>35</v>
      </c>
      <c r="F28" s="33"/>
      <c r="G28" s="33"/>
      <c r="H28" s="17"/>
    </row>
  </sheetData>
  <mergeCells count="9">
    <mergeCell ref="B27:D27"/>
    <mergeCell ref="E27:G27"/>
    <mergeCell ref="B28:D28"/>
    <mergeCell ref="E28:G28"/>
    <mergeCell ref="B26:D26"/>
    <mergeCell ref="E26:G26"/>
    <mergeCell ref="A1:A2"/>
    <mergeCell ref="G1:H1"/>
    <mergeCell ref="G2:H2"/>
  </mergeCells>
  <pageMargins left="0.511811024" right="0.511811024" top="0.78740157499999996" bottom="0.78740157499999996" header="0.31496062000000002" footer="0.31496062000000002"/>
  <ignoredErrors>
    <ignoredError sqref="L3:M3 L9:M9 L14:M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Britto</dc:creator>
  <cp:lastModifiedBy>Yroa Ferreira</cp:lastModifiedBy>
  <dcterms:created xsi:type="dcterms:W3CDTF">2026-06-05T19:37:55Z</dcterms:created>
  <dcterms:modified xsi:type="dcterms:W3CDTF">2026-06-05T21:03:11Z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2023-11-14T00:00:00Z</vt:filetime>
  </property>
  <property fmtid="{D5CDD505-2E9C-101B-9397-08002B2CF9AE}" pid="3" name="Creator">
    <vt:lpwstr>Microsoft® Word para Microsoft 365</vt:lpwstr>
  </property>
  <property fmtid="{D5CDD505-2E9C-101B-9397-08002B2CF9AE}" pid="4" name="LastSaved">
    <vt:filetime>2026-06-05T00:00:00Z</vt:filetime>
  </property>
  <property fmtid="{D5CDD505-2E9C-101B-9397-08002B2CF9AE}" pid="5" name="Producer">
    <vt:lpwstr>Microsoft® Word para Microsoft 365</vt:lpwstr>
  </property>
</Properties>
</file>
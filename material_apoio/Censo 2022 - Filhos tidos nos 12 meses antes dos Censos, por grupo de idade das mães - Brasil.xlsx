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0b7787a09b50f1f/Curso MBA FGV/Projeto do TCC/"/>
    </mc:Choice>
  </mc:AlternateContent>
  <xr:revisionPtr revIDLastSave="51" documentId="11_61F3AD472364FF18F55B1250EAB341BA87503EC5" xr6:coauthVersionLast="47" xr6:coauthVersionMax="47" xr10:uidLastSave="{F4C996BD-4A93-43CD-B3FE-CC35B750BA1D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H15" i="1"/>
  <c r="H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E2" i="1"/>
  <c r="F8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F15" i="1"/>
  <c r="B19" i="1"/>
  <c r="B18" i="1"/>
</calcChain>
</file>

<file path=xl/sharedStrings.xml><?xml version="1.0" encoding="utf-8"?>
<sst xmlns="http://schemas.openxmlformats.org/spreadsheetml/2006/main" count="38" uniqueCount="19">
  <si>
    <t>Ano da pesquisa</t>
  </si>
  <si>
    <t>Grupo de idade</t>
  </si>
  <si>
    <t>Filhos tidos nos 12 meses antes do Censo</t>
  </si>
  <si>
    <t>2010</t>
  </si>
  <si>
    <t>15 a 19 anos</t>
  </si>
  <si>
    <t>20 a 24 anos</t>
  </si>
  <si>
    <t>25 a 29 anos</t>
  </si>
  <si>
    <t>30 a 34 anos</t>
  </si>
  <si>
    <t>35 a 39 anos</t>
  </si>
  <si>
    <t>40 a 44 anos</t>
  </si>
  <si>
    <t>45 a 49 anos</t>
  </si>
  <si>
    <t>2022</t>
  </si>
  <si>
    <t>total nascimentos 2010</t>
  </si>
  <si>
    <t>total nascimentos 2022</t>
  </si>
  <si>
    <t>taxa de fecundidade total (TFT) 2010</t>
  </si>
  <si>
    <t>taxa de fecundidade total (TFT) 2011</t>
  </si>
  <si>
    <t>Razão  nascimento/intervalo</t>
  </si>
  <si>
    <t>TFT = 5x Razão</t>
  </si>
  <si>
    <t>Mulheres por faixa de 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</si>
</sst>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sqref="A1:D15"/>
    </sheetView>
  </sheetViews>
  <sheetFormatPr defaultRowHeight="14.4" x14ac:dyDescent="0.3"/>
  <cols>
    <col min="1" max="1" width="32.09765625" bestFit="1" customWidth="1"/>
    <col min="2" max="2" width="15.796875" customWidth="1"/>
    <col min="3" max="3" width="36.19921875" bestFit="1" customWidth="1"/>
    <col min="4" max="4" width="24" bestFit="1" customWidth="1"/>
    <col min="5" max="5" width="25.296875" bestFit="1" customWidth="1"/>
    <col min="6" max="6" width="9.3984375" bestFit="1" customWidth="1"/>
    <col min="7" max="7" width="13.296875" bestFit="1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18</v>
      </c>
      <c r="E1" t="s">
        <v>16</v>
      </c>
      <c r="G1" t="s">
        <v>17</v>
      </c>
    </row>
    <row r="2" spans="1:8" ht="15.6" x14ac:dyDescent="0.3">
      <c r="A2" t="s">
        <v>3</v>
      </c>
      <c r="B2" t="s">
        <v>4</v>
      </c>
      <c r="C2">
        <v>419290</v>
      </c>
      <c r="D2">
        <v>8432004</v>
      </c>
      <c r="E2">
        <f>C2/D2</f>
        <v>4.9726020054070182E-2</v>
      </c>
      <c r="G2">
        <f>5*E2</f>
        <v>0.2486301002703509</v>
      </c>
    </row>
    <row r="3" spans="1:8" ht="15.6" x14ac:dyDescent="0.3">
      <c r="A3" t="s">
        <v>3</v>
      </c>
      <c r="B3" t="s">
        <v>5</v>
      </c>
      <c r="C3">
        <v>729955</v>
      </c>
      <c r="D3">
        <v>8614963</v>
      </c>
      <c r="E3">
        <f t="shared" ref="E3:E15" si="0">C3/D3</f>
        <v>8.4731066169407815E-2</v>
      </c>
      <c r="G3">
        <f t="shared" ref="G3:G15" si="1">5*E3</f>
        <v>0.4236553308470391</v>
      </c>
    </row>
    <row r="4" spans="1:8" ht="15.6" x14ac:dyDescent="0.3">
      <c r="A4" t="s">
        <v>3</v>
      </c>
      <c r="B4" t="s">
        <v>6</v>
      </c>
      <c r="C4">
        <v>671943</v>
      </c>
      <c r="D4">
        <v>8643419</v>
      </c>
      <c r="E4">
        <f t="shared" si="0"/>
        <v>7.7740417304772561E-2</v>
      </c>
      <c r="G4">
        <f t="shared" si="1"/>
        <v>0.38870208652386279</v>
      </c>
    </row>
    <row r="5" spans="1:8" ht="15.6" x14ac:dyDescent="0.3">
      <c r="A5" t="s">
        <v>3</v>
      </c>
      <c r="B5" t="s">
        <v>7</v>
      </c>
      <c r="C5">
        <v>479493</v>
      </c>
      <c r="D5">
        <v>8026854</v>
      </c>
      <c r="E5">
        <f t="shared" si="0"/>
        <v>5.9736105826766001E-2</v>
      </c>
      <c r="G5">
        <f t="shared" si="1"/>
        <v>0.29868052913383003</v>
      </c>
    </row>
    <row r="6" spans="1:8" ht="15.6" x14ac:dyDescent="0.3">
      <c r="A6" t="s">
        <v>3</v>
      </c>
      <c r="B6" t="s">
        <v>8</v>
      </c>
      <c r="C6">
        <v>242730</v>
      </c>
      <c r="D6">
        <v>7121915</v>
      </c>
      <c r="E6">
        <f t="shared" si="0"/>
        <v>3.4082125383411627E-2</v>
      </c>
      <c r="G6">
        <f t="shared" si="1"/>
        <v>0.17041062691705813</v>
      </c>
    </row>
    <row r="7" spans="1:8" ht="15.6" x14ac:dyDescent="0.3">
      <c r="A7" t="s">
        <v>3</v>
      </c>
      <c r="B7" t="s">
        <v>9</v>
      </c>
      <c r="C7">
        <v>74405</v>
      </c>
      <c r="D7">
        <v>6688796</v>
      </c>
      <c r="E7">
        <f t="shared" si="0"/>
        <v>1.1123825573391683E-2</v>
      </c>
      <c r="G7">
        <f t="shared" si="1"/>
        <v>5.5619127866958419E-2</v>
      </c>
    </row>
    <row r="8" spans="1:8" ht="15.6" x14ac:dyDescent="0.3">
      <c r="A8" t="s">
        <v>3</v>
      </c>
      <c r="B8" t="s">
        <v>10</v>
      </c>
      <c r="C8">
        <v>13043</v>
      </c>
      <c r="D8">
        <v>6141338</v>
      </c>
      <c r="E8">
        <f t="shared" si="0"/>
        <v>2.1238042915078113E-3</v>
      </c>
      <c r="F8" s="1">
        <f>SUM(E2:E8)</f>
        <v>0.31926336460332766</v>
      </c>
      <c r="G8">
        <f t="shared" si="1"/>
        <v>1.0619021457539056E-2</v>
      </c>
      <c r="H8">
        <f>SUM(G2:G8)</f>
        <v>1.5963168230166387</v>
      </c>
    </row>
    <row r="9" spans="1:8" ht="15.6" x14ac:dyDescent="0.3">
      <c r="A9" t="s">
        <v>11</v>
      </c>
      <c r="B9" t="s">
        <v>4</v>
      </c>
      <c r="C9">
        <v>248446</v>
      </c>
      <c r="D9">
        <v>7058427</v>
      </c>
      <c r="E9">
        <f t="shared" si="0"/>
        <v>3.5198493942063862E-2</v>
      </c>
      <c r="G9">
        <f t="shared" si="1"/>
        <v>0.17599246971031932</v>
      </c>
    </row>
    <row r="10" spans="1:8" ht="15.6" x14ac:dyDescent="0.3">
      <c r="A10" t="s">
        <v>11</v>
      </c>
      <c r="B10" t="s">
        <v>5</v>
      </c>
      <c r="C10">
        <v>550985</v>
      </c>
      <c r="D10">
        <v>7699157</v>
      </c>
      <c r="E10">
        <f t="shared" si="0"/>
        <v>7.1564328406343705E-2</v>
      </c>
      <c r="G10">
        <f t="shared" si="1"/>
        <v>0.35782164203171851</v>
      </c>
    </row>
    <row r="11" spans="1:8" ht="15.6" x14ac:dyDescent="0.3">
      <c r="A11" t="s">
        <v>11</v>
      </c>
      <c r="B11" t="s">
        <v>6</v>
      </c>
      <c r="C11">
        <v>591685</v>
      </c>
      <c r="D11">
        <v>7842265</v>
      </c>
      <c r="E11">
        <f t="shared" si="0"/>
        <v>7.544822828608827E-2</v>
      </c>
      <c r="G11">
        <f t="shared" si="1"/>
        <v>0.37724114143044135</v>
      </c>
    </row>
    <row r="12" spans="1:8" ht="15.6" x14ac:dyDescent="0.3">
      <c r="A12" t="s">
        <v>11</v>
      </c>
      <c r="B12" t="s">
        <v>7</v>
      </c>
      <c r="C12">
        <v>514922</v>
      </c>
      <c r="D12">
        <v>7935832</v>
      </c>
      <c r="E12">
        <f t="shared" si="0"/>
        <v>6.4885698185143031E-2</v>
      </c>
      <c r="G12">
        <f t="shared" si="1"/>
        <v>0.32442849092571513</v>
      </c>
    </row>
    <row r="13" spans="1:8" ht="15.6" x14ac:dyDescent="0.3">
      <c r="A13" t="s">
        <v>11</v>
      </c>
      <c r="B13" t="s">
        <v>8</v>
      </c>
      <c r="C13">
        <v>353529</v>
      </c>
      <c r="D13">
        <v>8345458</v>
      </c>
      <c r="E13">
        <f t="shared" si="0"/>
        <v>4.2361845209693702E-2</v>
      </c>
      <c r="G13">
        <f t="shared" si="1"/>
        <v>0.21180922604846852</v>
      </c>
    </row>
    <row r="14" spans="1:8" ht="15.6" x14ac:dyDescent="0.3">
      <c r="A14" t="s">
        <v>11</v>
      </c>
      <c r="B14" t="s">
        <v>9</v>
      </c>
      <c r="C14">
        <v>133300</v>
      </c>
      <c r="D14">
        <v>8291111</v>
      </c>
      <c r="E14">
        <f t="shared" si="0"/>
        <v>1.6077459341697391E-2</v>
      </c>
      <c r="G14">
        <f t="shared" si="1"/>
        <v>8.0387296708486961E-2</v>
      </c>
    </row>
    <row r="15" spans="1:8" ht="15.6" x14ac:dyDescent="0.3">
      <c r="A15" t="s">
        <v>11</v>
      </c>
      <c r="B15" t="s">
        <v>10</v>
      </c>
      <c r="C15">
        <v>24198</v>
      </c>
      <c r="D15">
        <v>7091003</v>
      </c>
      <c r="E15">
        <f t="shared" si="0"/>
        <v>3.4124932678776189E-3</v>
      </c>
      <c r="F15">
        <f>SUM(E9:E15)</f>
        <v>0.30894854663890758</v>
      </c>
      <c r="G15">
        <f t="shared" si="1"/>
        <v>1.7062466339388096E-2</v>
      </c>
      <c r="H15">
        <f>SUM(G9:G15)</f>
        <v>1.5447427331945378</v>
      </c>
    </row>
    <row r="18" spans="1:2" x14ac:dyDescent="0.3">
      <c r="A18" t="s">
        <v>12</v>
      </c>
      <c r="B18">
        <f>SUM(C2:C8)</f>
        <v>2630859</v>
      </c>
    </row>
    <row r="19" spans="1:2" x14ac:dyDescent="0.3">
      <c r="A19" t="s">
        <v>13</v>
      </c>
      <c r="B19">
        <f>SUM(C9:C15)</f>
        <v>2417065</v>
      </c>
    </row>
    <row r="21" spans="1:2" x14ac:dyDescent="0.3">
      <c r="A21" t="s">
        <v>14</v>
      </c>
      <c r="B21">
        <f>H8</f>
        <v>1.5963168230166387</v>
      </c>
    </row>
    <row r="22" spans="1:2" x14ac:dyDescent="0.3">
      <c r="A22" t="s">
        <v>15</v>
      </c>
      <c r="B22">
        <f>H15</f>
        <v>1.5447427331945378</v>
      </c>
    </row>
  </sheetData>
  <phoneticPr fontId="1" type="noConversion"/>
  <pageMargins left="0.511811024" right="0.511811024" top="0.78740157499999996" bottom="0.78740157499999996" header="0.31496062000000002" footer="0.31496062000000002"/>
  <ignoredErrors>
    <ignoredError sqref="A1:C1 A10:C15 A8:C8 A3:C7 A2:C2 A9:C9" numberStoredAsText="1"/>
    <ignoredError sqref="B18:B1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Yroa Ferreira</cp:lastModifiedBy>
  <dcterms:modified xsi:type="dcterms:W3CDTF">2026-06-05T22:08:24Z</dcterms:modified>
</cp:coreProperties>
</file>